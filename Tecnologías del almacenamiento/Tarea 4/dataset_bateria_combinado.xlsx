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C\Tecnologías del almacenamiento\Tarea 4\"/>
    </mc:Choice>
  </mc:AlternateContent>
  <xr:revisionPtr revIDLastSave="0" documentId="13_ncr:1_{95E65DE9-0AEE-4DDD-A928-5D8D7F1104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Combinado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5" i="1" l="1"/>
  <c r="H55" i="1"/>
  <c r="E55" i="1"/>
  <c r="I55" i="1" s="1"/>
  <c r="C55" i="1"/>
  <c r="M54" i="1"/>
  <c r="H54" i="1"/>
  <c r="E54" i="1"/>
  <c r="I54" i="1" s="1"/>
  <c r="C54" i="1"/>
  <c r="M53" i="1"/>
  <c r="H53" i="1"/>
  <c r="E53" i="1"/>
  <c r="G53" i="1" s="1"/>
  <c r="C53" i="1"/>
  <c r="M52" i="1"/>
  <c r="H52" i="1"/>
  <c r="E52" i="1"/>
  <c r="I52" i="1" s="1"/>
  <c r="C52" i="1"/>
  <c r="M51" i="1"/>
  <c r="H51" i="1"/>
  <c r="E51" i="1"/>
  <c r="I51" i="1" s="1"/>
  <c r="C51" i="1"/>
  <c r="M50" i="1"/>
  <c r="H50" i="1"/>
  <c r="E50" i="1"/>
  <c r="I50" i="1" s="1"/>
  <c r="C50" i="1"/>
  <c r="M49" i="1"/>
  <c r="H49" i="1"/>
  <c r="E49" i="1"/>
  <c r="I49" i="1" s="1"/>
  <c r="C49" i="1"/>
  <c r="M48" i="1"/>
  <c r="H48" i="1"/>
  <c r="E48" i="1"/>
  <c r="I48" i="1" s="1"/>
  <c r="C48" i="1"/>
  <c r="M47" i="1"/>
  <c r="H47" i="1"/>
  <c r="E47" i="1"/>
  <c r="I47" i="1" s="1"/>
  <c r="C47" i="1"/>
  <c r="M46" i="1"/>
  <c r="H46" i="1"/>
  <c r="E46" i="1"/>
  <c r="I46" i="1" s="1"/>
  <c r="C46" i="1"/>
  <c r="M45" i="1"/>
  <c r="H45" i="1"/>
  <c r="E45" i="1"/>
  <c r="C45" i="1"/>
  <c r="M44" i="1"/>
  <c r="H44" i="1"/>
  <c r="E44" i="1"/>
  <c r="I44" i="1" s="1"/>
  <c r="C44" i="1"/>
  <c r="M43" i="1"/>
  <c r="H43" i="1"/>
  <c r="E43" i="1"/>
  <c r="G43" i="1" s="1"/>
  <c r="K43" i="1" s="1"/>
  <c r="C43" i="1"/>
  <c r="M42" i="1"/>
  <c r="H42" i="1"/>
  <c r="E42" i="1"/>
  <c r="I42" i="1" s="1"/>
  <c r="C42" i="1"/>
  <c r="M41" i="1"/>
  <c r="H41" i="1"/>
  <c r="E41" i="1"/>
  <c r="I41" i="1" s="1"/>
  <c r="C41" i="1"/>
  <c r="M40" i="1"/>
  <c r="H40" i="1"/>
  <c r="E40" i="1"/>
  <c r="I40" i="1" s="1"/>
  <c r="C40" i="1"/>
  <c r="M39" i="1"/>
  <c r="H39" i="1"/>
  <c r="E39" i="1"/>
  <c r="I39" i="1" s="1"/>
  <c r="C39" i="1"/>
  <c r="M38" i="1"/>
  <c r="H38" i="1"/>
  <c r="E38" i="1"/>
  <c r="G38" i="1" s="1"/>
  <c r="K38" i="1" s="1"/>
  <c r="C38" i="1"/>
  <c r="M37" i="1"/>
  <c r="H37" i="1"/>
  <c r="E37" i="1"/>
  <c r="G37" i="1" s="1"/>
  <c r="K37" i="1" s="1"/>
  <c r="C37" i="1"/>
  <c r="M36" i="1"/>
  <c r="H36" i="1"/>
  <c r="E36" i="1"/>
  <c r="I36" i="1" s="1"/>
  <c r="C36" i="1"/>
  <c r="M35" i="1"/>
  <c r="H35" i="1"/>
  <c r="E35" i="1"/>
  <c r="C35" i="1"/>
  <c r="M33" i="1"/>
  <c r="H33" i="1"/>
  <c r="E33" i="1"/>
  <c r="G33" i="1" s="1"/>
  <c r="K33" i="1" s="1"/>
  <c r="C33" i="1"/>
  <c r="M32" i="1"/>
  <c r="H32" i="1"/>
  <c r="E32" i="1"/>
  <c r="I32" i="1" s="1"/>
  <c r="C32" i="1"/>
  <c r="M31" i="1"/>
  <c r="H31" i="1"/>
  <c r="E31" i="1"/>
  <c r="G31" i="1" s="1"/>
  <c r="K31" i="1" s="1"/>
  <c r="C31" i="1"/>
  <c r="M30" i="1"/>
  <c r="H30" i="1"/>
  <c r="I30" i="1" s="1"/>
  <c r="E30" i="1"/>
  <c r="G30" i="1" s="1"/>
  <c r="C30" i="1"/>
  <c r="M29" i="1"/>
  <c r="H29" i="1"/>
  <c r="E29" i="1"/>
  <c r="C29" i="1"/>
  <c r="M28" i="1"/>
  <c r="H28" i="1"/>
  <c r="E28" i="1"/>
  <c r="I28" i="1" s="1"/>
  <c r="C28" i="1"/>
  <c r="M27" i="1"/>
  <c r="H27" i="1"/>
  <c r="E27" i="1"/>
  <c r="I27" i="1" s="1"/>
  <c r="C27" i="1"/>
  <c r="M26" i="1"/>
  <c r="H26" i="1"/>
  <c r="E26" i="1"/>
  <c r="C26" i="1"/>
  <c r="M25" i="1"/>
  <c r="H25" i="1"/>
  <c r="E25" i="1"/>
  <c r="G25" i="1" s="1"/>
  <c r="C25" i="1"/>
  <c r="M24" i="1"/>
  <c r="H24" i="1"/>
  <c r="E24" i="1"/>
  <c r="I24" i="1" s="1"/>
  <c r="C24" i="1"/>
  <c r="M23" i="1"/>
  <c r="H23" i="1"/>
  <c r="E23" i="1"/>
  <c r="I23" i="1" s="1"/>
  <c r="C23" i="1"/>
  <c r="M22" i="1"/>
  <c r="H22" i="1"/>
  <c r="E22" i="1"/>
  <c r="G22" i="1" s="1"/>
  <c r="C22" i="1"/>
  <c r="M21" i="1"/>
  <c r="H21" i="1"/>
  <c r="E21" i="1"/>
  <c r="G21" i="1" s="1"/>
  <c r="C21" i="1"/>
  <c r="M20" i="1"/>
  <c r="H20" i="1"/>
  <c r="E20" i="1"/>
  <c r="I20" i="1" s="1"/>
  <c r="C20" i="1"/>
  <c r="M19" i="1"/>
  <c r="H19" i="1"/>
  <c r="E19" i="1"/>
  <c r="I19" i="1" s="1"/>
  <c r="C19" i="1"/>
  <c r="M18" i="1"/>
  <c r="H18" i="1"/>
  <c r="E18" i="1"/>
  <c r="G18" i="1" s="1"/>
  <c r="C18" i="1"/>
  <c r="M17" i="1"/>
  <c r="H17" i="1"/>
  <c r="E17" i="1"/>
  <c r="G17" i="1" s="1"/>
  <c r="C17" i="1"/>
  <c r="M16" i="1"/>
  <c r="H16" i="1"/>
  <c r="E16" i="1"/>
  <c r="I16" i="1" s="1"/>
  <c r="C16" i="1"/>
  <c r="M15" i="1"/>
  <c r="H15" i="1"/>
  <c r="E15" i="1"/>
  <c r="G15" i="1" s="1"/>
  <c r="K15" i="1" s="1"/>
  <c r="C15" i="1"/>
  <c r="M14" i="1"/>
  <c r="H14" i="1"/>
  <c r="E14" i="1"/>
  <c r="C14" i="1"/>
  <c r="M13" i="1"/>
  <c r="H13" i="1"/>
  <c r="E13" i="1"/>
  <c r="I13" i="1" s="1"/>
  <c r="C13" i="1"/>
  <c r="M12" i="1"/>
  <c r="H12" i="1"/>
  <c r="E12" i="1"/>
  <c r="G12" i="1" s="1"/>
  <c r="K12" i="1" s="1"/>
  <c r="C12" i="1"/>
  <c r="M11" i="1"/>
  <c r="H11" i="1"/>
  <c r="E11" i="1"/>
  <c r="G11" i="1" s="1"/>
  <c r="K11" i="1" s="1"/>
  <c r="C11" i="1"/>
  <c r="M10" i="1"/>
  <c r="H10" i="1"/>
  <c r="E10" i="1"/>
  <c r="C10" i="1"/>
  <c r="M9" i="1"/>
  <c r="H9" i="1"/>
  <c r="E9" i="1"/>
  <c r="G9" i="1" s="1"/>
  <c r="K9" i="1" s="1"/>
  <c r="C9" i="1"/>
  <c r="M8" i="1"/>
  <c r="H8" i="1"/>
  <c r="E8" i="1"/>
  <c r="G8" i="1" s="1"/>
  <c r="K8" i="1" s="1"/>
  <c r="C8" i="1"/>
  <c r="M7" i="1"/>
  <c r="H7" i="1"/>
  <c r="E7" i="1"/>
  <c r="C7" i="1"/>
  <c r="M6" i="1"/>
  <c r="H6" i="1"/>
  <c r="E6" i="1"/>
  <c r="G6" i="1" s="1"/>
  <c r="C6" i="1"/>
  <c r="M5" i="1"/>
  <c r="H5" i="1"/>
  <c r="E5" i="1"/>
  <c r="I5" i="1" s="1"/>
  <c r="J5" i="1" s="1"/>
  <c r="C5" i="1"/>
  <c r="K17" i="1" l="1"/>
  <c r="K21" i="1"/>
  <c r="K25" i="1"/>
  <c r="I29" i="1"/>
  <c r="I38" i="1"/>
  <c r="K6" i="1"/>
  <c r="I10" i="1"/>
  <c r="I14" i="1"/>
  <c r="K18" i="1"/>
  <c r="K22" i="1"/>
  <c r="I26" i="1"/>
  <c r="K30" i="1"/>
  <c r="G14" i="1"/>
  <c r="K14" i="1" s="1"/>
  <c r="G46" i="1"/>
  <c r="K46" i="1" s="1"/>
  <c r="K53" i="1"/>
  <c r="I25" i="1"/>
  <c r="G29" i="1"/>
  <c r="K29" i="1" s="1"/>
  <c r="I43" i="1"/>
  <c r="I11" i="1"/>
  <c r="G41" i="1"/>
  <c r="K41" i="1" s="1"/>
  <c r="G32" i="1"/>
  <c r="K32" i="1" s="1"/>
  <c r="I31" i="1"/>
  <c r="G13" i="1"/>
  <c r="K13" i="1" s="1"/>
  <c r="I9" i="1"/>
  <c r="G27" i="1"/>
  <c r="K27" i="1" s="1"/>
  <c r="I35" i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I18" i="1"/>
  <c r="I6" i="1"/>
  <c r="J6" i="1" s="1"/>
  <c r="J7" i="1" s="1"/>
  <c r="G16" i="1"/>
  <c r="K16" i="1" s="1"/>
  <c r="I45" i="1"/>
  <c r="I22" i="1"/>
  <c r="I15" i="1"/>
  <c r="I7" i="1"/>
  <c r="G45" i="1"/>
  <c r="K45" i="1" s="1"/>
  <c r="G35" i="1"/>
  <c r="K35" i="1" s="1"/>
  <c r="L35" i="1" s="1"/>
  <c r="G5" i="1"/>
  <c r="K5" i="1" s="1"/>
  <c r="L5" i="1" s="1"/>
  <c r="L6" i="1" s="1"/>
  <c r="I12" i="1"/>
  <c r="G7" i="1"/>
  <c r="K7" i="1" s="1"/>
  <c r="I21" i="1"/>
  <c r="G23" i="1"/>
  <c r="K23" i="1" s="1"/>
  <c r="I37" i="1"/>
  <c r="G39" i="1"/>
  <c r="K39" i="1" s="1"/>
  <c r="I53" i="1"/>
  <c r="G55" i="1"/>
  <c r="K55" i="1" s="1"/>
  <c r="G42" i="1"/>
  <c r="K42" i="1" s="1"/>
  <c r="I17" i="1"/>
  <c r="G48" i="1"/>
  <c r="K48" i="1" s="1"/>
  <c r="G10" i="1"/>
  <c r="K10" i="1" s="1"/>
  <c r="I33" i="1"/>
  <c r="I8" i="1"/>
  <c r="G26" i="1"/>
  <c r="K26" i="1" s="1"/>
  <c r="G19" i="1"/>
  <c r="K19" i="1" s="1"/>
  <c r="G50" i="1"/>
  <c r="K50" i="1" s="1"/>
  <c r="G20" i="1"/>
  <c r="K20" i="1" s="1"/>
  <c r="G36" i="1"/>
  <c r="K36" i="1" s="1"/>
  <c r="G52" i="1"/>
  <c r="K52" i="1" s="1"/>
  <c r="G54" i="1"/>
  <c r="K54" i="1" s="1"/>
  <c r="G47" i="1"/>
  <c r="K47" i="1" s="1"/>
  <c r="G49" i="1"/>
  <c r="K49" i="1" s="1"/>
  <c r="G24" i="1"/>
  <c r="K24" i="1" s="1"/>
  <c r="G51" i="1"/>
  <c r="K51" i="1" s="1"/>
  <c r="G40" i="1"/>
  <c r="K40" i="1" s="1"/>
  <c r="G28" i="1"/>
  <c r="K28" i="1" s="1"/>
  <c r="G44" i="1"/>
  <c r="K44" i="1" s="1"/>
  <c r="J8" i="1" l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L36" i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7" i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</calcChain>
</file>

<file path=xl/sharedStrings.xml><?xml version="1.0" encoding="utf-8"?>
<sst xmlns="http://schemas.openxmlformats.org/spreadsheetml/2006/main" count="160" uniqueCount="61">
  <si>
    <t>Dataset combinado de pruebas de banco de baterías</t>
  </si>
  <si>
    <t>Unión externa por etapa y tiempo entre el archivo de corrientes y el archivo de voltajes. La potencia se calcula con V·I usando corriente con signo.</t>
  </si>
  <si>
    <t>Etapa</t>
  </si>
  <si>
    <t>Tiempo [s]</t>
  </si>
  <si>
    <t>Tiempo [min]</t>
  </si>
  <si>
    <t>Corriente medida [A]</t>
  </si>
  <si>
    <t>Corriente con signo [A]</t>
  </si>
  <si>
    <t>Voltaje medido [V]</t>
  </si>
  <si>
    <t>Potencia con signo [W]</t>
  </si>
  <si>
    <t>Δt [h]</t>
  </si>
  <si>
    <t>Ah paso [Ah]</t>
  </si>
  <si>
    <t>Ah acumulado [Ah]</t>
  </si>
  <si>
    <t>Wh paso [Wh]</t>
  </si>
  <si>
    <t>Wh acumulado [Wh]</t>
  </si>
  <si>
    <t>Datos completos</t>
  </si>
  <si>
    <t>Observación</t>
  </si>
  <si>
    <t>Descarga</t>
  </si>
  <si>
    <t>sin corriente medida</t>
  </si>
  <si>
    <t>datos completos</t>
  </si>
  <si>
    <t>Carga</t>
  </si>
  <si>
    <t>Resumen del dataset combinado</t>
  </si>
  <si>
    <t>Archivo de corrientes</t>
  </si>
  <si>
    <t>datos_corriente_banco_baterias.xlsx</t>
  </si>
  <si>
    <t>Archivo de voltajes</t>
  </si>
  <si>
    <t>VoltageTarea4 (1).xlsx</t>
  </si>
  <si>
    <t>Método de unión</t>
  </si>
  <si>
    <t>Etapa + Tiempo [s] (outer join)</t>
  </si>
  <si>
    <t>Convención de signo</t>
  </si>
  <si>
    <t>Descarga positiva / Carga negativa</t>
  </si>
  <si>
    <t>Capacidad banco anotada</t>
  </si>
  <si>
    <t>20 Ah en serie; 40 Ah si fuera paralelo</t>
  </si>
  <si>
    <t>Métrica</t>
  </si>
  <si>
    <t>Comentario</t>
  </si>
  <si>
    <t>Filas totales</t>
  </si>
  <si>
    <t>Incluye filas con solo voltaje o solo corriente</t>
  </si>
  <si>
    <t>Filas completas V + I</t>
  </si>
  <si>
    <t>Estas filas sirven directo para calcular P = V·I</t>
  </si>
  <si>
    <t>Duración máxima [min]</t>
  </si>
  <si>
    <t>Según el mayor tiempo disponible en cada etapa</t>
  </si>
  <si>
    <t>Corriente promedio medida [A]</t>
  </si>
  <si>
    <t>Promedio usando datos de corriente disponibles</t>
  </si>
  <si>
    <t>Corriente mínima medida [A]</t>
  </si>
  <si>
    <t>Corriente máxima medida [A]</t>
  </si>
  <si>
    <t>Voltaje inicial [V]</t>
  </si>
  <si>
    <t>Desde el archivo de voltaje</t>
  </si>
  <si>
    <t>Voltaje final [V]</t>
  </si>
  <si>
    <t>Último voltaje disponible</t>
  </si>
  <si>
    <t>Voltaje promedio [V]</t>
  </si>
  <si>
    <t>Potencia promedio con signo [W]</t>
  </si>
  <si>
    <t>Descarga positiva, carga negativa</t>
  </si>
  <si>
    <t>Ah acumulado con signo [Ah]</t>
  </si>
  <si>
    <t>Integración aproximada con Δt del dataset unido</t>
  </si>
  <si>
    <t>Wh acumulado con signo [Wh]</t>
  </si>
  <si>
    <t>Energía aproximada integrada con P·Δt</t>
  </si>
  <si>
    <t>V descarga [V]</t>
  </si>
  <si>
    <t>I descarga [A]</t>
  </si>
  <si>
    <t>P descarga [W]</t>
  </si>
  <si>
    <t>Tiempo carga [min]</t>
  </si>
  <si>
    <t>V carga [V]</t>
  </si>
  <si>
    <t>I carga [A]</t>
  </si>
  <si>
    <t>P carga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</si>
</sst>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bgColor rgb="FFFDE9D9"/>
        </patternFill>
      </fill>
    </dxf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Bateria" displayName="DatasetBateria" ref="A4:N56">
  <tableColumns count="14">
    <tableColumn id="1" xr3:uid="{00000000-0010-0000-0000-000001000000}" name="Etapa"/>
    <tableColumn id="2" xr3:uid="{00000000-0010-0000-0000-000002000000}" name="Tiempo [s]"/>
    <tableColumn id="3" xr3:uid="{00000000-0010-0000-0000-000003000000}" name="Tiempo [min]"/>
    <tableColumn id="4" xr3:uid="{00000000-0010-0000-0000-000004000000}" name="Corriente medida [A]"/>
    <tableColumn id="5" xr3:uid="{00000000-0010-0000-0000-000005000000}" name="Corriente con signo [A]"/>
    <tableColumn id="6" xr3:uid="{00000000-0010-0000-0000-000006000000}" name="Voltaje medido [V]"/>
    <tableColumn id="7" xr3:uid="{00000000-0010-0000-0000-000007000000}" name="Potencia con signo [W]"/>
    <tableColumn id="8" xr3:uid="{00000000-0010-0000-0000-000008000000}" name="Δt [h]"/>
    <tableColumn id="9" xr3:uid="{00000000-0010-0000-0000-000009000000}" name="Ah paso [Ah]"/>
    <tableColumn id="10" xr3:uid="{00000000-0010-0000-0000-00000A000000}" name="Ah acumulado [Ah]"/>
    <tableColumn id="11" xr3:uid="{00000000-0010-0000-0000-00000B000000}" name="Wh paso [Wh]"/>
    <tableColumn id="12" xr3:uid="{00000000-0010-0000-0000-00000C000000}" name="Wh acumulado [Wh]"/>
    <tableColumn id="13" xr3:uid="{00000000-0010-0000-0000-00000D000000}" name="Datos completos"/>
    <tableColumn id="14" xr3:uid="{00000000-0010-0000-0000-00000E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Bateria" displayName="ResumenBateria" ref="A10:D22">
  <tableColumns count="4">
    <tableColumn id="1" xr3:uid="{00000000-0010-0000-0100-000001000000}" name="Métrica"/>
    <tableColumn id="2" xr3:uid="{00000000-0010-0000-0100-000002000000}" name="Descarga"/>
    <tableColumn id="3" xr3:uid="{00000000-0010-0000-0100-000003000000}" name="Carga"/>
    <tableColumn id="4" xr3:uid="{00000000-0010-0000-0100-000004000000}" name="Comenta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osGraficos" displayName="DatosGraficos" ref="A26:H54">
  <tableColumns count="8">
    <tableColumn id="1" xr3:uid="{00000000-0010-0000-0200-000001000000}" name="Tiempo [min]"/>
    <tableColumn id="2" xr3:uid="{00000000-0010-0000-0200-000002000000}" name="V descarga [V]"/>
    <tableColumn id="3" xr3:uid="{00000000-0010-0000-0200-000003000000}" name="I descarga [A]"/>
    <tableColumn id="4" xr3:uid="{00000000-0010-0000-0200-000004000000}" name="P descarga [W]"/>
    <tableColumn id="5" xr3:uid="{00000000-0010-0000-0200-000005000000}" name="Tiempo carga [min]"/>
    <tableColumn id="6" xr3:uid="{00000000-0010-0000-0200-000006000000}" name="V carga [V]"/>
    <tableColumn id="7" xr3:uid="{00000000-0010-0000-0200-000007000000}" name="I carga [A]"/>
    <tableColumn id="8" xr3:uid="{00000000-0010-0000-0200-000008000000}" name="P carga [W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A5" sqref="A5"/>
    </sheetView>
  </sheetViews>
  <sheetFormatPr baseColWidth="10" defaultColWidth="9" defaultRowHeight="14.25"/>
  <cols>
    <col min="1" max="1" width="13" customWidth="1"/>
    <col min="2" max="2" width="11" customWidth="1"/>
    <col min="3" max="3" width="12" customWidth="1"/>
    <col min="4" max="4" width="18" customWidth="1"/>
    <col min="5" max="5" width="19" customWidth="1"/>
    <col min="6" max="6" width="17" customWidth="1"/>
    <col min="7" max="7" width="20" customWidth="1"/>
    <col min="8" max="8" width="11" customWidth="1"/>
    <col min="9" max="9" width="13" customWidth="1"/>
    <col min="10" max="10" width="17" customWidth="1"/>
    <col min="11" max="11" width="13" customWidth="1"/>
    <col min="12" max="12" width="17" customWidth="1"/>
    <col min="13" max="13" width="15" customWidth="1"/>
    <col min="14" max="14" width="26" customWidth="1"/>
  </cols>
  <sheetData>
    <row r="1" spans="1:14" ht="24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36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32.1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4" t="s">
        <v>16</v>
      </c>
      <c r="B5" s="5">
        <v>0</v>
      </c>
      <c r="C5" s="6">
        <f t="shared" ref="C5:C36" si="0">B5/60</f>
        <v>0</v>
      </c>
      <c r="D5" s="6"/>
      <c r="E5" s="6" t="str">
        <f t="shared" ref="E5:E36" si="1">IF(D5="","",IF(A5="Carga",-ABS(D5),ABS(D5)))</f>
        <v/>
      </c>
      <c r="F5" s="6">
        <v>26.1</v>
      </c>
      <c r="G5" s="6" t="str">
        <f t="shared" ref="G5:G36" si="2">IF(OR(E5="",F5=""),"",E5*F5)</f>
        <v/>
      </c>
      <c r="H5" s="7">
        <f>0</f>
        <v>0</v>
      </c>
      <c r="I5" s="8">
        <f t="shared" ref="I5:I36" si="3">IF(E5="",0,E5*H5)</f>
        <v>0</v>
      </c>
      <c r="J5" s="8">
        <f>I5</f>
        <v>0</v>
      </c>
      <c r="K5" s="8">
        <f t="shared" ref="K5:K36" si="4">IF(G5="",0,G5*H5)</f>
        <v>0</v>
      </c>
      <c r="L5" s="8">
        <f>K5</f>
        <v>0</v>
      </c>
      <c r="M5" s="4" t="str">
        <f t="shared" ref="M5:M36" si="5">IF(OR(D5="",F5=""),"No","Sí")</f>
        <v>No</v>
      </c>
      <c r="N5" s="9" t="s">
        <v>17</v>
      </c>
    </row>
    <row r="6" spans="1:14">
      <c r="A6" s="4" t="s">
        <v>16</v>
      </c>
      <c r="B6" s="5">
        <v>30</v>
      </c>
      <c r="C6" s="6">
        <f t="shared" si="0"/>
        <v>0.5</v>
      </c>
      <c r="D6" s="6">
        <v>5.64</v>
      </c>
      <c r="E6" s="6">
        <f t="shared" si="1"/>
        <v>5.64</v>
      </c>
      <c r="F6" s="6">
        <v>25.3</v>
      </c>
      <c r="G6" s="6">
        <f t="shared" si="2"/>
        <v>142.69200000000001</v>
      </c>
      <c r="H6" s="7">
        <f t="shared" ref="H6:H37" si="6">IF(A6&lt;&gt;A5,0,MAX(0,(B6-B5)/3600))</f>
        <v>8.3333333333333332E-3</v>
      </c>
      <c r="I6" s="8">
        <f t="shared" si="3"/>
        <v>4.7E-2</v>
      </c>
      <c r="J6" s="8">
        <f t="shared" ref="J6:J37" si="7">IF(A6&lt;&gt;A5,I6,J5+I6)</f>
        <v>4.7E-2</v>
      </c>
      <c r="K6" s="8">
        <f t="shared" si="4"/>
        <v>1.1891</v>
      </c>
      <c r="L6" s="8">
        <f t="shared" ref="L6:L37" si="8">IF(A6&lt;&gt;A5,K6,L5+K6)</f>
        <v>1.1891</v>
      </c>
      <c r="M6" s="4" t="str">
        <f t="shared" si="5"/>
        <v>Sí</v>
      </c>
      <c r="N6" s="9" t="s">
        <v>18</v>
      </c>
    </row>
    <row r="7" spans="1:14">
      <c r="A7" s="4" t="s">
        <v>16</v>
      </c>
      <c r="B7" s="5">
        <v>60</v>
      </c>
      <c r="C7" s="6">
        <f t="shared" si="0"/>
        <v>1</v>
      </c>
      <c r="D7" s="6">
        <v>5.76</v>
      </c>
      <c r="E7" s="6">
        <f t="shared" si="1"/>
        <v>5.76</v>
      </c>
      <c r="F7" s="6">
        <v>25.3</v>
      </c>
      <c r="G7" s="6">
        <f t="shared" si="2"/>
        <v>145.72800000000001</v>
      </c>
      <c r="H7" s="7">
        <f t="shared" si="6"/>
        <v>8.3333333333333332E-3</v>
      </c>
      <c r="I7" s="8">
        <f t="shared" si="3"/>
        <v>4.8000000000000001E-2</v>
      </c>
      <c r="J7" s="8">
        <f t="shared" si="7"/>
        <v>9.5000000000000001E-2</v>
      </c>
      <c r="K7" s="8">
        <f t="shared" si="4"/>
        <v>1.2144000000000001</v>
      </c>
      <c r="L7" s="8">
        <f t="shared" si="8"/>
        <v>2.4035000000000002</v>
      </c>
      <c r="M7" s="4" t="str">
        <f t="shared" si="5"/>
        <v>Sí</v>
      </c>
      <c r="N7" s="9" t="s">
        <v>18</v>
      </c>
    </row>
    <row r="8" spans="1:14">
      <c r="A8" s="4" t="s">
        <v>16</v>
      </c>
      <c r="B8" s="5">
        <v>90</v>
      </c>
      <c r="C8" s="6">
        <f t="shared" si="0"/>
        <v>1.5</v>
      </c>
      <c r="D8" s="6">
        <v>5.56</v>
      </c>
      <c r="E8" s="6">
        <f t="shared" si="1"/>
        <v>5.56</v>
      </c>
      <c r="F8" s="6">
        <v>25.3</v>
      </c>
      <c r="G8" s="6">
        <f t="shared" si="2"/>
        <v>140.66800000000001</v>
      </c>
      <c r="H8" s="7">
        <f t="shared" si="6"/>
        <v>8.3333333333333332E-3</v>
      </c>
      <c r="I8" s="8">
        <f t="shared" si="3"/>
        <v>4.6333333333333331E-2</v>
      </c>
      <c r="J8" s="8">
        <f t="shared" si="7"/>
        <v>0.14133333333333334</v>
      </c>
      <c r="K8" s="8">
        <f t="shared" si="4"/>
        <v>1.1722333333333335</v>
      </c>
      <c r="L8" s="8">
        <f t="shared" si="8"/>
        <v>3.5757333333333339</v>
      </c>
      <c r="M8" s="4" t="str">
        <f t="shared" si="5"/>
        <v>Sí</v>
      </c>
      <c r="N8" s="9" t="s">
        <v>18</v>
      </c>
    </row>
    <row r="9" spans="1:14">
      <c r="A9" s="4" t="s">
        <v>16</v>
      </c>
      <c r="B9" s="5">
        <v>120</v>
      </c>
      <c r="C9" s="6">
        <f t="shared" si="0"/>
        <v>2</v>
      </c>
      <c r="D9" s="6">
        <v>5.54</v>
      </c>
      <c r="E9" s="6">
        <f t="shared" si="1"/>
        <v>5.54</v>
      </c>
      <c r="F9" s="6">
        <v>25.2</v>
      </c>
      <c r="G9" s="6">
        <f t="shared" si="2"/>
        <v>139.608</v>
      </c>
      <c r="H9" s="7">
        <f t="shared" si="6"/>
        <v>8.3333333333333332E-3</v>
      </c>
      <c r="I9" s="8">
        <f t="shared" si="3"/>
        <v>4.6166666666666668E-2</v>
      </c>
      <c r="J9" s="8">
        <f t="shared" si="7"/>
        <v>0.1875</v>
      </c>
      <c r="K9" s="8">
        <f t="shared" si="4"/>
        <v>1.1634</v>
      </c>
      <c r="L9" s="8">
        <f t="shared" si="8"/>
        <v>4.7391333333333341</v>
      </c>
      <c r="M9" s="4" t="str">
        <f t="shared" si="5"/>
        <v>Sí</v>
      </c>
      <c r="N9" s="9" t="s">
        <v>18</v>
      </c>
    </row>
    <row r="10" spans="1:14">
      <c r="A10" s="4" t="s">
        <v>16</v>
      </c>
      <c r="B10" s="5">
        <v>150</v>
      </c>
      <c r="C10" s="6">
        <f t="shared" si="0"/>
        <v>2.5</v>
      </c>
      <c r="D10" s="6">
        <v>5.54</v>
      </c>
      <c r="E10" s="6">
        <f t="shared" si="1"/>
        <v>5.54</v>
      </c>
      <c r="F10" s="6">
        <v>25.2</v>
      </c>
      <c r="G10" s="6">
        <f t="shared" si="2"/>
        <v>139.608</v>
      </c>
      <c r="H10" s="7">
        <f t="shared" si="6"/>
        <v>8.3333333333333332E-3</v>
      </c>
      <c r="I10" s="8">
        <f t="shared" si="3"/>
        <v>4.6166666666666668E-2</v>
      </c>
      <c r="J10" s="8">
        <f t="shared" si="7"/>
        <v>0.23366666666666666</v>
      </c>
      <c r="K10" s="8">
        <f t="shared" si="4"/>
        <v>1.1634</v>
      </c>
      <c r="L10" s="8">
        <f t="shared" si="8"/>
        <v>5.9025333333333343</v>
      </c>
      <c r="M10" s="4" t="str">
        <f t="shared" si="5"/>
        <v>Sí</v>
      </c>
      <c r="N10" s="9" t="s">
        <v>18</v>
      </c>
    </row>
    <row r="11" spans="1:14">
      <c r="A11" s="4" t="s">
        <v>16</v>
      </c>
      <c r="B11" s="5">
        <v>180</v>
      </c>
      <c r="C11" s="6">
        <f t="shared" si="0"/>
        <v>3</v>
      </c>
      <c r="D11" s="6">
        <v>5.53</v>
      </c>
      <c r="E11" s="6">
        <f t="shared" si="1"/>
        <v>5.53</v>
      </c>
      <c r="F11" s="6">
        <v>25.2</v>
      </c>
      <c r="G11" s="6">
        <f t="shared" si="2"/>
        <v>139.35599999999999</v>
      </c>
      <c r="H11" s="7">
        <f t="shared" si="6"/>
        <v>8.3333333333333332E-3</v>
      </c>
      <c r="I11" s="8">
        <f t="shared" si="3"/>
        <v>4.6083333333333337E-2</v>
      </c>
      <c r="J11" s="8">
        <f t="shared" si="7"/>
        <v>0.27975</v>
      </c>
      <c r="K11" s="8">
        <f t="shared" si="4"/>
        <v>1.1613</v>
      </c>
      <c r="L11" s="8">
        <f t="shared" si="8"/>
        <v>7.0638333333333341</v>
      </c>
      <c r="M11" s="4" t="str">
        <f t="shared" si="5"/>
        <v>Sí</v>
      </c>
      <c r="N11" s="9" t="s">
        <v>18</v>
      </c>
    </row>
    <row r="12" spans="1:14">
      <c r="A12" s="4" t="s">
        <v>16</v>
      </c>
      <c r="B12" s="5">
        <v>210</v>
      </c>
      <c r="C12" s="6">
        <f t="shared" si="0"/>
        <v>3.5</v>
      </c>
      <c r="D12" s="6">
        <v>5.54</v>
      </c>
      <c r="E12" s="6">
        <f t="shared" si="1"/>
        <v>5.54</v>
      </c>
      <c r="F12" s="6">
        <v>25.2</v>
      </c>
      <c r="G12" s="6">
        <f t="shared" si="2"/>
        <v>139.608</v>
      </c>
      <c r="H12" s="7">
        <f t="shared" si="6"/>
        <v>8.3333333333333332E-3</v>
      </c>
      <c r="I12" s="8">
        <f t="shared" si="3"/>
        <v>4.6166666666666668E-2</v>
      </c>
      <c r="J12" s="8">
        <f t="shared" si="7"/>
        <v>0.32591666666666669</v>
      </c>
      <c r="K12" s="8">
        <f t="shared" si="4"/>
        <v>1.1634</v>
      </c>
      <c r="L12" s="8">
        <f t="shared" si="8"/>
        <v>8.2272333333333343</v>
      </c>
      <c r="M12" s="4" t="str">
        <f t="shared" si="5"/>
        <v>Sí</v>
      </c>
      <c r="N12" s="9" t="s">
        <v>18</v>
      </c>
    </row>
    <row r="13" spans="1:14">
      <c r="A13" s="4" t="s">
        <v>16</v>
      </c>
      <c r="B13" s="5">
        <v>240</v>
      </c>
      <c r="C13" s="6">
        <f t="shared" si="0"/>
        <v>4</v>
      </c>
      <c r="D13" s="6">
        <v>5.52</v>
      </c>
      <c r="E13" s="6">
        <f t="shared" si="1"/>
        <v>5.52</v>
      </c>
      <c r="F13" s="6">
        <v>25.2</v>
      </c>
      <c r="G13" s="6">
        <f t="shared" si="2"/>
        <v>139.10399999999998</v>
      </c>
      <c r="H13" s="7">
        <f t="shared" si="6"/>
        <v>8.3333333333333332E-3</v>
      </c>
      <c r="I13" s="8">
        <f t="shared" si="3"/>
        <v>4.5999999999999999E-2</v>
      </c>
      <c r="J13" s="8">
        <f t="shared" si="7"/>
        <v>0.37191666666666667</v>
      </c>
      <c r="K13" s="8">
        <f t="shared" si="4"/>
        <v>1.1591999999999998</v>
      </c>
      <c r="L13" s="8">
        <f t="shared" si="8"/>
        <v>9.3864333333333345</v>
      </c>
      <c r="M13" s="4" t="str">
        <f t="shared" si="5"/>
        <v>Sí</v>
      </c>
      <c r="N13" s="9" t="s">
        <v>18</v>
      </c>
    </row>
    <row r="14" spans="1:14">
      <c r="A14" s="4" t="s">
        <v>16</v>
      </c>
      <c r="B14" s="5">
        <v>270</v>
      </c>
      <c r="C14" s="6">
        <f t="shared" si="0"/>
        <v>4.5</v>
      </c>
      <c r="D14" s="6">
        <v>5.51</v>
      </c>
      <c r="E14" s="6">
        <f t="shared" si="1"/>
        <v>5.51</v>
      </c>
      <c r="F14" s="6">
        <v>25.1</v>
      </c>
      <c r="G14" s="6">
        <f t="shared" si="2"/>
        <v>138.30100000000002</v>
      </c>
      <c r="H14" s="7">
        <f t="shared" si="6"/>
        <v>8.3333333333333332E-3</v>
      </c>
      <c r="I14" s="8">
        <f t="shared" si="3"/>
        <v>4.5916666666666661E-2</v>
      </c>
      <c r="J14" s="8">
        <f t="shared" si="7"/>
        <v>0.41783333333333333</v>
      </c>
      <c r="K14" s="8">
        <f t="shared" si="4"/>
        <v>1.1525083333333335</v>
      </c>
      <c r="L14" s="8">
        <f t="shared" si="8"/>
        <v>10.538941666666668</v>
      </c>
      <c r="M14" s="4" t="str">
        <f t="shared" si="5"/>
        <v>Sí</v>
      </c>
      <c r="N14" s="9" t="s">
        <v>18</v>
      </c>
    </row>
    <row r="15" spans="1:14">
      <c r="A15" s="4" t="s">
        <v>16</v>
      </c>
      <c r="B15" s="5">
        <v>300</v>
      </c>
      <c r="C15" s="6">
        <f t="shared" si="0"/>
        <v>5</v>
      </c>
      <c r="D15" s="6">
        <v>5.5</v>
      </c>
      <c r="E15" s="6">
        <f t="shared" si="1"/>
        <v>5.5</v>
      </c>
      <c r="F15" s="6">
        <v>25.1</v>
      </c>
      <c r="G15" s="6">
        <f t="shared" si="2"/>
        <v>138.05000000000001</v>
      </c>
      <c r="H15" s="7">
        <f t="shared" si="6"/>
        <v>8.3333333333333332E-3</v>
      </c>
      <c r="I15" s="8">
        <f t="shared" si="3"/>
        <v>4.583333333333333E-2</v>
      </c>
      <c r="J15" s="8">
        <f t="shared" si="7"/>
        <v>0.46366666666666667</v>
      </c>
      <c r="K15" s="8">
        <f t="shared" si="4"/>
        <v>1.1504166666666666</v>
      </c>
      <c r="L15" s="8">
        <f t="shared" si="8"/>
        <v>11.689358333333335</v>
      </c>
      <c r="M15" s="4" t="str">
        <f t="shared" si="5"/>
        <v>Sí</v>
      </c>
      <c r="N15" s="9" t="s">
        <v>18</v>
      </c>
    </row>
    <row r="16" spans="1:14">
      <c r="A16" s="4" t="s">
        <v>16</v>
      </c>
      <c r="B16" s="5">
        <v>330</v>
      </c>
      <c r="C16" s="6">
        <f t="shared" si="0"/>
        <v>5.5</v>
      </c>
      <c r="D16" s="6">
        <v>5.51</v>
      </c>
      <c r="E16" s="6">
        <f t="shared" si="1"/>
        <v>5.51</v>
      </c>
      <c r="F16" s="6">
        <v>25.1</v>
      </c>
      <c r="G16" s="6">
        <f t="shared" si="2"/>
        <v>138.30100000000002</v>
      </c>
      <c r="H16" s="7">
        <f t="shared" si="6"/>
        <v>8.3333333333333332E-3</v>
      </c>
      <c r="I16" s="8">
        <f t="shared" si="3"/>
        <v>4.5916666666666661E-2</v>
      </c>
      <c r="J16" s="8">
        <f t="shared" si="7"/>
        <v>0.50958333333333328</v>
      </c>
      <c r="K16" s="8">
        <f t="shared" si="4"/>
        <v>1.1525083333333335</v>
      </c>
      <c r="L16" s="8">
        <f t="shared" si="8"/>
        <v>12.841866666666668</v>
      </c>
      <c r="M16" s="4" t="str">
        <f t="shared" si="5"/>
        <v>Sí</v>
      </c>
      <c r="N16" s="9" t="s">
        <v>18</v>
      </c>
    </row>
    <row r="17" spans="1:14">
      <c r="A17" s="4" t="s">
        <v>16</v>
      </c>
      <c r="B17" s="5">
        <v>360</v>
      </c>
      <c r="C17" s="6">
        <f t="shared" si="0"/>
        <v>6</v>
      </c>
      <c r="D17" s="6">
        <v>5.51</v>
      </c>
      <c r="E17" s="6">
        <f t="shared" si="1"/>
        <v>5.51</v>
      </c>
      <c r="F17" s="6">
        <v>25.1</v>
      </c>
      <c r="G17" s="6">
        <f t="shared" si="2"/>
        <v>138.30100000000002</v>
      </c>
      <c r="H17" s="7">
        <f t="shared" si="6"/>
        <v>8.3333333333333332E-3</v>
      </c>
      <c r="I17" s="8">
        <f t="shared" si="3"/>
        <v>4.5916666666666661E-2</v>
      </c>
      <c r="J17" s="8">
        <f t="shared" si="7"/>
        <v>0.55549999999999988</v>
      </c>
      <c r="K17" s="8">
        <f t="shared" si="4"/>
        <v>1.1525083333333335</v>
      </c>
      <c r="L17" s="8">
        <f t="shared" si="8"/>
        <v>13.994375000000002</v>
      </c>
      <c r="M17" s="4" t="str">
        <f t="shared" si="5"/>
        <v>Sí</v>
      </c>
      <c r="N17" s="9" t="s">
        <v>18</v>
      </c>
    </row>
    <row r="18" spans="1:14">
      <c r="A18" s="4" t="s">
        <v>16</v>
      </c>
      <c r="B18" s="5">
        <v>390</v>
      </c>
      <c r="C18" s="6">
        <f t="shared" si="0"/>
        <v>6.5</v>
      </c>
      <c r="D18" s="6">
        <v>5.51</v>
      </c>
      <c r="E18" s="6">
        <f t="shared" si="1"/>
        <v>5.51</v>
      </c>
      <c r="F18" s="6">
        <v>25.1</v>
      </c>
      <c r="G18" s="6">
        <f t="shared" si="2"/>
        <v>138.30100000000002</v>
      </c>
      <c r="H18" s="7">
        <f t="shared" si="6"/>
        <v>8.3333333333333332E-3</v>
      </c>
      <c r="I18" s="8">
        <f t="shared" si="3"/>
        <v>4.5916666666666661E-2</v>
      </c>
      <c r="J18" s="8">
        <f t="shared" si="7"/>
        <v>0.60141666666666649</v>
      </c>
      <c r="K18" s="8">
        <f t="shared" si="4"/>
        <v>1.1525083333333335</v>
      </c>
      <c r="L18" s="8">
        <f t="shared" si="8"/>
        <v>15.146883333333335</v>
      </c>
      <c r="M18" s="4" t="str">
        <f t="shared" si="5"/>
        <v>Sí</v>
      </c>
      <c r="N18" s="9" t="s">
        <v>18</v>
      </c>
    </row>
    <row r="19" spans="1:14">
      <c r="A19" s="4" t="s">
        <v>16</v>
      </c>
      <c r="B19" s="5">
        <v>420</v>
      </c>
      <c r="C19" s="6">
        <f t="shared" si="0"/>
        <v>7</v>
      </c>
      <c r="D19" s="6">
        <v>5.53</v>
      </c>
      <c r="E19" s="6">
        <f t="shared" si="1"/>
        <v>5.53</v>
      </c>
      <c r="F19" s="6">
        <v>25.1</v>
      </c>
      <c r="G19" s="6">
        <f t="shared" si="2"/>
        <v>138.80300000000003</v>
      </c>
      <c r="H19" s="7">
        <f t="shared" si="6"/>
        <v>8.3333333333333332E-3</v>
      </c>
      <c r="I19" s="8">
        <f t="shared" si="3"/>
        <v>4.6083333333333337E-2</v>
      </c>
      <c r="J19" s="8">
        <f t="shared" si="7"/>
        <v>0.64749999999999985</v>
      </c>
      <c r="K19" s="8">
        <f t="shared" si="4"/>
        <v>1.1566916666666669</v>
      </c>
      <c r="L19" s="8">
        <f t="shared" si="8"/>
        <v>16.303575000000002</v>
      </c>
      <c r="M19" s="4" t="str">
        <f t="shared" si="5"/>
        <v>Sí</v>
      </c>
      <c r="N19" s="9" t="s">
        <v>18</v>
      </c>
    </row>
    <row r="20" spans="1:14">
      <c r="A20" s="4" t="s">
        <v>16</v>
      </c>
      <c r="B20" s="5">
        <v>450</v>
      </c>
      <c r="C20" s="6">
        <f t="shared" si="0"/>
        <v>7.5</v>
      </c>
      <c r="D20" s="6">
        <v>5.5</v>
      </c>
      <c r="E20" s="6">
        <f t="shared" si="1"/>
        <v>5.5</v>
      </c>
      <c r="F20" s="6">
        <v>25</v>
      </c>
      <c r="G20" s="6">
        <f t="shared" si="2"/>
        <v>137.5</v>
      </c>
      <c r="H20" s="7">
        <f t="shared" si="6"/>
        <v>8.3333333333333332E-3</v>
      </c>
      <c r="I20" s="8">
        <f t="shared" si="3"/>
        <v>4.583333333333333E-2</v>
      </c>
      <c r="J20" s="8">
        <f t="shared" si="7"/>
        <v>0.69333333333333313</v>
      </c>
      <c r="K20" s="8">
        <f t="shared" si="4"/>
        <v>1.1458333333333333</v>
      </c>
      <c r="L20" s="8">
        <f t="shared" si="8"/>
        <v>17.449408333333334</v>
      </c>
      <c r="M20" s="4" t="str">
        <f t="shared" si="5"/>
        <v>Sí</v>
      </c>
      <c r="N20" s="9" t="s">
        <v>18</v>
      </c>
    </row>
    <row r="21" spans="1:14">
      <c r="A21" s="4" t="s">
        <v>16</v>
      </c>
      <c r="B21" s="5">
        <v>480</v>
      </c>
      <c r="C21" s="6">
        <f t="shared" si="0"/>
        <v>8</v>
      </c>
      <c r="D21" s="6">
        <v>5.51</v>
      </c>
      <c r="E21" s="6">
        <f t="shared" si="1"/>
        <v>5.51</v>
      </c>
      <c r="F21" s="6">
        <v>25</v>
      </c>
      <c r="G21" s="6">
        <f t="shared" si="2"/>
        <v>137.75</v>
      </c>
      <c r="H21" s="7">
        <f t="shared" si="6"/>
        <v>8.3333333333333332E-3</v>
      </c>
      <c r="I21" s="8">
        <f t="shared" si="3"/>
        <v>4.5916666666666661E-2</v>
      </c>
      <c r="J21" s="8">
        <f t="shared" si="7"/>
        <v>0.73924999999999974</v>
      </c>
      <c r="K21" s="8">
        <f t="shared" si="4"/>
        <v>1.1479166666666667</v>
      </c>
      <c r="L21" s="8">
        <f t="shared" si="8"/>
        <v>18.597325000000001</v>
      </c>
      <c r="M21" s="4" t="str">
        <f t="shared" si="5"/>
        <v>Sí</v>
      </c>
      <c r="N21" s="9" t="s">
        <v>18</v>
      </c>
    </row>
    <row r="22" spans="1:14">
      <c r="A22" s="4" t="s">
        <v>16</v>
      </c>
      <c r="B22" s="5">
        <v>510</v>
      </c>
      <c r="C22" s="6">
        <f t="shared" si="0"/>
        <v>8.5</v>
      </c>
      <c r="D22" s="6">
        <v>5.51</v>
      </c>
      <c r="E22" s="6">
        <f t="shared" si="1"/>
        <v>5.51</v>
      </c>
      <c r="F22" s="6">
        <v>25</v>
      </c>
      <c r="G22" s="6">
        <f t="shared" si="2"/>
        <v>137.75</v>
      </c>
      <c r="H22" s="7">
        <f t="shared" si="6"/>
        <v>8.3333333333333332E-3</v>
      </c>
      <c r="I22" s="8">
        <f t="shared" si="3"/>
        <v>4.5916666666666661E-2</v>
      </c>
      <c r="J22" s="8">
        <f t="shared" si="7"/>
        <v>0.78516666666666635</v>
      </c>
      <c r="K22" s="8">
        <f t="shared" si="4"/>
        <v>1.1479166666666667</v>
      </c>
      <c r="L22" s="8">
        <f t="shared" si="8"/>
        <v>19.745241666666669</v>
      </c>
      <c r="M22" s="4" t="str">
        <f t="shared" si="5"/>
        <v>Sí</v>
      </c>
      <c r="N22" s="9" t="s">
        <v>18</v>
      </c>
    </row>
    <row r="23" spans="1:14">
      <c r="A23" s="4" t="s">
        <v>16</v>
      </c>
      <c r="B23" s="5">
        <v>540</v>
      </c>
      <c r="C23" s="6">
        <f t="shared" si="0"/>
        <v>9</v>
      </c>
      <c r="D23" s="6">
        <v>5.51</v>
      </c>
      <c r="E23" s="6">
        <f t="shared" si="1"/>
        <v>5.51</v>
      </c>
      <c r="F23" s="6">
        <v>25</v>
      </c>
      <c r="G23" s="6">
        <f t="shared" si="2"/>
        <v>137.75</v>
      </c>
      <c r="H23" s="7">
        <f t="shared" si="6"/>
        <v>8.3333333333333332E-3</v>
      </c>
      <c r="I23" s="8">
        <f t="shared" si="3"/>
        <v>4.5916666666666661E-2</v>
      </c>
      <c r="J23" s="8">
        <f t="shared" si="7"/>
        <v>0.83108333333333295</v>
      </c>
      <c r="K23" s="8">
        <f t="shared" si="4"/>
        <v>1.1479166666666667</v>
      </c>
      <c r="L23" s="8">
        <f t="shared" si="8"/>
        <v>20.893158333333336</v>
      </c>
      <c r="M23" s="4" t="str">
        <f t="shared" si="5"/>
        <v>Sí</v>
      </c>
      <c r="N23" s="9" t="s">
        <v>18</v>
      </c>
    </row>
    <row r="24" spans="1:14">
      <c r="A24" s="4" t="s">
        <v>16</v>
      </c>
      <c r="B24" s="5">
        <v>570</v>
      </c>
      <c r="C24" s="6">
        <f t="shared" si="0"/>
        <v>9.5</v>
      </c>
      <c r="D24" s="6">
        <v>5.51</v>
      </c>
      <c r="E24" s="6">
        <f t="shared" si="1"/>
        <v>5.51</v>
      </c>
      <c r="F24" s="6">
        <v>25</v>
      </c>
      <c r="G24" s="6">
        <f t="shared" si="2"/>
        <v>137.75</v>
      </c>
      <c r="H24" s="7">
        <f t="shared" si="6"/>
        <v>8.3333333333333332E-3</v>
      </c>
      <c r="I24" s="8">
        <f t="shared" si="3"/>
        <v>4.5916666666666661E-2</v>
      </c>
      <c r="J24" s="8">
        <f t="shared" si="7"/>
        <v>0.87699999999999956</v>
      </c>
      <c r="K24" s="8">
        <f t="shared" si="4"/>
        <v>1.1479166666666667</v>
      </c>
      <c r="L24" s="8">
        <f t="shared" si="8"/>
        <v>22.041075000000003</v>
      </c>
      <c r="M24" s="4" t="str">
        <f t="shared" si="5"/>
        <v>Sí</v>
      </c>
      <c r="N24" s="9" t="s">
        <v>18</v>
      </c>
    </row>
    <row r="25" spans="1:14">
      <c r="A25" s="4" t="s">
        <v>16</v>
      </c>
      <c r="B25" s="5">
        <v>600</v>
      </c>
      <c r="C25" s="6">
        <f t="shared" si="0"/>
        <v>10</v>
      </c>
      <c r="D25" s="6">
        <v>5.51</v>
      </c>
      <c r="E25" s="6">
        <f t="shared" si="1"/>
        <v>5.51</v>
      </c>
      <c r="F25" s="6">
        <v>24.9</v>
      </c>
      <c r="G25" s="6">
        <f t="shared" si="2"/>
        <v>137.19899999999998</v>
      </c>
      <c r="H25" s="7">
        <f t="shared" si="6"/>
        <v>8.3333333333333332E-3</v>
      </c>
      <c r="I25" s="8">
        <f t="shared" si="3"/>
        <v>4.5916666666666661E-2</v>
      </c>
      <c r="J25" s="8">
        <f t="shared" si="7"/>
        <v>0.92291666666666616</v>
      </c>
      <c r="K25" s="8">
        <f t="shared" si="4"/>
        <v>1.1433249999999999</v>
      </c>
      <c r="L25" s="8">
        <f t="shared" si="8"/>
        <v>23.184400000000004</v>
      </c>
      <c r="M25" s="4" t="str">
        <f t="shared" si="5"/>
        <v>Sí</v>
      </c>
      <c r="N25" s="9" t="s">
        <v>18</v>
      </c>
    </row>
    <row r="26" spans="1:14">
      <c r="A26" s="4" t="s">
        <v>16</v>
      </c>
      <c r="B26" s="5">
        <v>630</v>
      </c>
      <c r="C26" s="6">
        <f t="shared" si="0"/>
        <v>10.5</v>
      </c>
      <c r="D26" s="6">
        <v>5.49</v>
      </c>
      <c r="E26" s="6">
        <f t="shared" si="1"/>
        <v>5.49</v>
      </c>
      <c r="F26" s="6">
        <v>24.9</v>
      </c>
      <c r="G26" s="6">
        <f t="shared" si="2"/>
        <v>136.70099999999999</v>
      </c>
      <c r="H26" s="7">
        <f t="shared" si="6"/>
        <v>8.3333333333333332E-3</v>
      </c>
      <c r="I26" s="8">
        <f t="shared" si="3"/>
        <v>4.5749999999999999E-2</v>
      </c>
      <c r="J26" s="8">
        <f t="shared" si="7"/>
        <v>0.96866666666666612</v>
      </c>
      <c r="K26" s="8">
        <f t="shared" si="4"/>
        <v>1.1391749999999998</v>
      </c>
      <c r="L26" s="8">
        <f t="shared" si="8"/>
        <v>24.323575000000005</v>
      </c>
      <c r="M26" s="4" t="str">
        <f t="shared" si="5"/>
        <v>Sí</v>
      </c>
      <c r="N26" s="9" t="s">
        <v>18</v>
      </c>
    </row>
    <row r="27" spans="1:14">
      <c r="A27" s="4" t="s">
        <v>16</v>
      </c>
      <c r="B27" s="5">
        <v>660</v>
      </c>
      <c r="C27" s="6">
        <f t="shared" si="0"/>
        <v>11</v>
      </c>
      <c r="D27" s="6">
        <v>5.53</v>
      </c>
      <c r="E27" s="6">
        <f t="shared" si="1"/>
        <v>5.53</v>
      </c>
      <c r="F27" s="6">
        <v>24.9</v>
      </c>
      <c r="G27" s="6">
        <f t="shared" si="2"/>
        <v>137.697</v>
      </c>
      <c r="H27" s="7">
        <f t="shared" si="6"/>
        <v>8.3333333333333332E-3</v>
      </c>
      <c r="I27" s="8">
        <f t="shared" si="3"/>
        <v>4.6083333333333337E-2</v>
      </c>
      <c r="J27" s="8">
        <f t="shared" si="7"/>
        <v>1.0147499999999994</v>
      </c>
      <c r="K27" s="8">
        <f t="shared" si="4"/>
        <v>1.147475</v>
      </c>
      <c r="L27" s="8">
        <f t="shared" si="8"/>
        <v>25.471050000000005</v>
      </c>
      <c r="M27" s="4" t="str">
        <f t="shared" si="5"/>
        <v>Sí</v>
      </c>
      <c r="N27" s="9" t="s">
        <v>18</v>
      </c>
    </row>
    <row r="28" spans="1:14">
      <c r="A28" s="4" t="s">
        <v>16</v>
      </c>
      <c r="B28" s="5">
        <v>690</v>
      </c>
      <c r="C28" s="6">
        <f t="shared" si="0"/>
        <v>11.5</v>
      </c>
      <c r="D28" s="6">
        <v>5.54</v>
      </c>
      <c r="E28" s="6">
        <f t="shared" si="1"/>
        <v>5.54</v>
      </c>
      <c r="F28" s="6">
        <v>24.9</v>
      </c>
      <c r="G28" s="6">
        <f t="shared" si="2"/>
        <v>137.946</v>
      </c>
      <c r="H28" s="7">
        <f t="shared" si="6"/>
        <v>8.3333333333333332E-3</v>
      </c>
      <c r="I28" s="8">
        <f t="shared" si="3"/>
        <v>4.6166666666666668E-2</v>
      </c>
      <c r="J28" s="8">
        <f t="shared" si="7"/>
        <v>1.0609166666666661</v>
      </c>
      <c r="K28" s="8">
        <f t="shared" si="4"/>
        <v>1.1495500000000001</v>
      </c>
      <c r="L28" s="8">
        <f t="shared" si="8"/>
        <v>26.620600000000007</v>
      </c>
      <c r="M28" s="4" t="str">
        <f t="shared" si="5"/>
        <v>Sí</v>
      </c>
      <c r="N28" s="9" t="s">
        <v>18</v>
      </c>
    </row>
    <row r="29" spans="1:14">
      <c r="A29" s="4" t="s">
        <v>16</v>
      </c>
      <c r="B29" s="5">
        <v>720</v>
      </c>
      <c r="C29" s="6">
        <f t="shared" si="0"/>
        <v>12</v>
      </c>
      <c r="D29" s="6">
        <v>5.54</v>
      </c>
      <c r="E29" s="6">
        <f t="shared" si="1"/>
        <v>5.54</v>
      </c>
      <c r="F29" s="6">
        <v>24.9</v>
      </c>
      <c r="G29" s="6">
        <f t="shared" si="2"/>
        <v>137.946</v>
      </c>
      <c r="H29" s="7">
        <f t="shared" si="6"/>
        <v>8.3333333333333332E-3</v>
      </c>
      <c r="I29" s="8">
        <f t="shared" si="3"/>
        <v>4.6166666666666668E-2</v>
      </c>
      <c r="J29" s="8">
        <f t="shared" si="7"/>
        <v>1.1070833333333328</v>
      </c>
      <c r="K29" s="8">
        <f t="shared" si="4"/>
        <v>1.1495500000000001</v>
      </c>
      <c r="L29" s="8">
        <f t="shared" si="8"/>
        <v>27.770150000000008</v>
      </c>
      <c r="M29" s="4" t="str">
        <f t="shared" si="5"/>
        <v>Sí</v>
      </c>
      <c r="N29" s="9" t="s">
        <v>18</v>
      </c>
    </row>
    <row r="30" spans="1:14">
      <c r="A30" s="4" t="s">
        <v>16</v>
      </c>
      <c r="B30" s="5">
        <v>750</v>
      </c>
      <c r="C30" s="6">
        <f t="shared" si="0"/>
        <v>12.5</v>
      </c>
      <c r="D30" s="6">
        <v>5.54</v>
      </c>
      <c r="E30" s="6">
        <f t="shared" si="1"/>
        <v>5.54</v>
      </c>
      <c r="F30" s="6">
        <v>24.9</v>
      </c>
      <c r="G30" s="6">
        <f t="shared" si="2"/>
        <v>137.946</v>
      </c>
      <c r="H30" s="7">
        <f t="shared" si="6"/>
        <v>8.3333333333333332E-3</v>
      </c>
      <c r="I30" s="8">
        <f t="shared" si="3"/>
        <v>4.6166666666666668E-2</v>
      </c>
      <c r="J30" s="8">
        <f t="shared" si="7"/>
        <v>1.1532499999999994</v>
      </c>
      <c r="K30" s="8">
        <f t="shared" si="4"/>
        <v>1.1495500000000001</v>
      </c>
      <c r="L30" s="8">
        <f t="shared" si="8"/>
        <v>28.91970000000001</v>
      </c>
      <c r="M30" s="4" t="str">
        <f t="shared" si="5"/>
        <v>Sí</v>
      </c>
      <c r="N30" s="9" t="s">
        <v>18</v>
      </c>
    </row>
    <row r="31" spans="1:14">
      <c r="A31" s="4" t="s">
        <v>16</v>
      </c>
      <c r="B31" s="5">
        <v>780</v>
      </c>
      <c r="C31" s="6">
        <f t="shared" si="0"/>
        <v>13</v>
      </c>
      <c r="D31" s="6">
        <v>5.54</v>
      </c>
      <c r="E31" s="6">
        <f t="shared" si="1"/>
        <v>5.54</v>
      </c>
      <c r="F31" s="6">
        <v>24.9</v>
      </c>
      <c r="G31" s="6">
        <f t="shared" si="2"/>
        <v>137.946</v>
      </c>
      <c r="H31" s="7">
        <f t="shared" si="6"/>
        <v>8.3333333333333332E-3</v>
      </c>
      <c r="I31" s="8">
        <f t="shared" si="3"/>
        <v>4.6166666666666668E-2</v>
      </c>
      <c r="J31" s="8">
        <f t="shared" si="7"/>
        <v>1.1994166666666661</v>
      </c>
      <c r="K31" s="8">
        <f t="shared" si="4"/>
        <v>1.1495500000000001</v>
      </c>
      <c r="L31" s="8">
        <f t="shared" si="8"/>
        <v>30.069250000000011</v>
      </c>
      <c r="M31" s="4" t="str">
        <f t="shared" si="5"/>
        <v>Sí</v>
      </c>
      <c r="N31" s="9" t="s">
        <v>18</v>
      </c>
    </row>
    <row r="32" spans="1:14">
      <c r="A32" s="4" t="s">
        <v>16</v>
      </c>
      <c r="B32" s="5">
        <v>810</v>
      </c>
      <c r="C32" s="6">
        <f t="shared" si="0"/>
        <v>13.5</v>
      </c>
      <c r="D32" s="6">
        <v>5.54</v>
      </c>
      <c r="E32" s="6">
        <f t="shared" si="1"/>
        <v>5.54</v>
      </c>
      <c r="F32" s="6">
        <v>24.9</v>
      </c>
      <c r="G32" s="6">
        <f t="shared" si="2"/>
        <v>137.946</v>
      </c>
      <c r="H32" s="7">
        <f t="shared" si="6"/>
        <v>8.3333333333333332E-3</v>
      </c>
      <c r="I32" s="8">
        <f t="shared" si="3"/>
        <v>4.6166666666666668E-2</v>
      </c>
      <c r="J32" s="8">
        <f t="shared" si="7"/>
        <v>1.2455833333333328</v>
      </c>
      <c r="K32" s="8">
        <f t="shared" si="4"/>
        <v>1.1495500000000001</v>
      </c>
      <c r="L32" s="8">
        <f t="shared" si="8"/>
        <v>31.218800000000012</v>
      </c>
      <c r="M32" s="4" t="str">
        <f t="shared" si="5"/>
        <v>Sí</v>
      </c>
      <c r="N32" s="9" t="s">
        <v>18</v>
      </c>
    </row>
    <row r="33" spans="1:14">
      <c r="A33" s="4" t="s">
        <v>16</v>
      </c>
      <c r="B33" s="5">
        <v>840</v>
      </c>
      <c r="C33" s="6">
        <f t="shared" si="0"/>
        <v>14</v>
      </c>
      <c r="D33" s="6">
        <v>5.54</v>
      </c>
      <c r="E33" s="6">
        <f t="shared" si="1"/>
        <v>5.54</v>
      </c>
      <c r="F33" s="6">
        <v>24.8</v>
      </c>
      <c r="G33" s="6">
        <f t="shared" si="2"/>
        <v>137.392</v>
      </c>
      <c r="H33" s="7">
        <f t="shared" si="6"/>
        <v>8.3333333333333332E-3</v>
      </c>
      <c r="I33" s="8">
        <f t="shared" si="3"/>
        <v>4.6166666666666668E-2</v>
      </c>
      <c r="J33" s="8">
        <f t="shared" si="7"/>
        <v>1.2917499999999995</v>
      </c>
      <c r="K33" s="8">
        <f t="shared" si="4"/>
        <v>1.1449333333333334</v>
      </c>
      <c r="L33" s="8">
        <f t="shared" si="8"/>
        <v>32.363733333333343</v>
      </c>
      <c r="M33" s="4" t="str">
        <f t="shared" si="5"/>
        <v>Sí</v>
      </c>
      <c r="N33" s="9" t="s">
        <v>18</v>
      </c>
    </row>
    <row r="34" spans="1:14">
      <c r="A34" s="4"/>
      <c r="B34" s="5"/>
      <c r="C34" s="6"/>
      <c r="D34" s="6"/>
      <c r="E34" s="6"/>
      <c r="F34" s="6"/>
      <c r="G34" s="6"/>
      <c r="H34" s="7"/>
      <c r="I34" s="8"/>
      <c r="J34" s="8"/>
      <c r="K34" s="8"/>
      <c r="L34" s="8"/>
      <c r="M34" s="4"/>
      <c r="N34" s="9"/>
    </row>
    <row r="35" spans="1:14">
      <c r="A35" s="4" t="s">
        <v>19</v>
      </c>
      <c r="B35" s="5">
        <v>0</v>
      </c>
      <c r="C35" s="6">
        <f t="shared" si="0"/>
        <v>0</v>
      </c>
      <c r="D35" s="6">
        <v>19</v>
      </c>
      <c r="E35" s="6">
        <f t="shared" si="1"/>
        <v>-19</v>
      </c>
      <c r="F35" s="6">
        <v>25.5</v>
      </c>
      <c r="G35" s="6">
        <f t="shared" si="2"/>
        <v>-484.5</v>
      </c>
      <c r="H35" s="7">
        <f>IF(A35&lt;&gt;A34,0,MAX(0,(B35-B34)/3600))</f>
        <v>0</v>
      </c>
      <c r="I35" s="8">
        <f t="shared" si="3"/>
        <v>0</v>
      </c>
      <c r="J35" s="8">
        <f>IF(A35&lt;&gt;A34,I35,J34+I35)</f>
        <v>0</v>
      </c>
      <c r="K35" s="8">
        <f t="shared" si="4"/>
        <v>0</v>
      </c>
      <c r="L35" s="8">
        <f>IF(A35&lt;&gt;A34,K35,L34+K35)</f>
        <v>0</v>
      </c>
      <c r="M35" s="4" t="str">
        <f t="shared" si="5"/>
        <v>Sí</v>
      </c>
      <c r="N35" s="9" t="s">
        <v>18</v>
      </c>
    </row>
    <row r="36" spans="1:14">
      <c r="A36" s="4" t="s">
        <v>19</v>
      </c>
      <c r="B36" s="5">
        <v>30</v>
      </c>
      <c r="C36" s="6">
        <f t="shared" si="0"/>
        <v>0.5</v>
      </c>
      <c r="D36" s="6">
        <v>16</v>
      </c>
      <c r="E36" s="6">
        <f t="shared" si="1"/>
        <v>-16</v>
      </c>
      <c r="F36" s="6">
        <v>28.6</v>
      </c>
      <c r="G36" s="6">
        <f t="shared" si="2"/>
        <v>-457.6</v>
      </c>
      <c r="H36" s="7">
        <f t="shared" si="6"/>
        <v>8.3333333333333332E-3</v>
      </c>
      <c r="I36" s="8">
        <f t="shared" si="3"/>
        <v>-0.13333333333333333</v>
      </c>
      <c r="J36" s="8">
        <f t="shared" si="7"/>
        <v>-0.13333333333333333</v>
      </c>
      <c r="K36" s="8">
        <f t="shared" si="4"/>
        <v>-3.8133333333333335</v>
      </c>
      <c r="L36" s="8">
        <f t="shared" si="8"/>
        <v>-3.8133333333333335</v>
      </c>
      <c r="M36" s="4" t="str">
        <f t="shared" si="5"/>
        <v>Sí</v>
      </c>
      <c r="N36" s="9" t="s">
        <v>18</v>
      </c>
    </row>
    <row r="37" spans="1:14">
      <c r="A37" s="4" t="s">
        <v>19</v>
      </c>
      <c r="B37" s="5">
        <v>60</v>
      </c>
      <c r="C37" s="6">
        <f t="shared" ref="C37:C55" si="9">B37/60</f>
        <v>1</v>
      </c>
      <c r="D37" s="6">
        <v>12</v>
      </c>
      <c r="E37" s="6">
        <f t="shared" ref="E37:E55" si="10">IF(D37="","",IF(A37="Carga",-ABS(D37),ABS(D37)))</f>
        <v>-12</v>
      </c>
      <c r="F37" s="6">
        <v>28.6</v>
      </c>
      <c r="G37" s="6">
        <f t="shared" ref="G37:G55" si="11">IF(OR(E37="",F37=""),"",E37*F37)</f>
        <v>-343.20000000000005</v>
      </c>
      <c r="H37" s="7">
        <f t="shared" si="6"/>
        <v>8.3333333333333332E-3</v>
      </c>
      <c r="I37" s="8">
        <f t="shared" ref="I37:I55" si="12">IF(E37="",0,E37*H37)</f>
        <v>-0.1</v>
      </c>
      <c r="J37" s="8">
        <f t="shared" si="7"/>
        <v>-0.23333333333333334</v>
      </c>
      <c r="K37" s="8">
        <f t="shared" ref="K37:K55" si="13">IF(G37="",0,G37*H37)</f>
        <v>-2.8600000000000003</v>
      </c>
      <c r="L37" s="8">
        <f t="shared" si="8"/>
        <v>-6.6733333333333338</v>
      </c>
      <c r="M37" s="4" t="str">
        <f t="shared" ref="M37:M55" si="14">IF(OR(D37="",F37=""),"No","Sí")</f>
        <v>Sí</v>
      </c>
      <c r="N37" s="9" t="s">
        <v>18</v>
      </c>
    </row>
    <row r="38" spans="1:14">
      <c r="A38" s="4" t="s">
        <v>19</v>
      </c>
      <c r="B38" s="5">
        <v>90</v>
      </c>
      <c r="C38" s="6">
        <f t="shared" si="9"/>
        <v>1.5</v>
      </c>
      <c r="D38" s="6">
        <v>11</v>
      </c>
      <c r="E38" s="6">
        <f t="shared" si="10"/>
        <v>-11</v>
      </c>
      <c r="F38" s="6">
        <v>28.6</v>
      </c>
      <c r="G38" s="6">
        <f t="shared" si="11"/>
        <v>-314.60000000000002</v>
      </c>
      <c r="H38" s="7">
        <f t="shared" ref="H38:H55" si="15">IF(A38&lt;&gt;A37,0,MAX(0,(B38-B37)/3600))</f>
        <v>8.3333333333333332E-3</v>
      </c>
      <c r="I38" s="8">
        <f t="shared" si="12"/>
        <v>-9.166666666666666E-2</v>
      </c>
      <c r="J38" s="8">
        <f t="shared" ref="J38:J55" si="16">IF(A38&lt;&gt;A37,I38,J37+I38)</f>
        <v>-0.32500000000000001</v>
      </c>
      <c r="K38" s="8">
        <f t="shared" si="13"/>
        <v>-2.621666666666667</v>
      </c>
      <c r="L38" s="8">
        <f t="shared" ref="L38:L55" si="17">IF(A38&lt;&gt;A37,K38,L37+K38)</f>
        <v>-9.2950000000000017</v>
      </c>
      <c r="M38" s="4" t="str">
        <f t="shared" si="14"/>
        <v>Sí</v>
      </c>
      <c r="N38" s="9" t="s">
        <v>18</v>
      </c>
    </row>
    <row r="39" spans="1:14">
      <c r="A39" s="4" t="s">
        <v>19</v>
      </c>
      <c r="B39" s="5">
        <v>120</v>
      </c>
      <c r="C39" s="6">
        <f t="shared" si="9"/>
        <v>2</v>
      </c>
      <c r="D39" s="6">
        <v>11</v>
      </c>
      <c r="E39" s="6">
        <f t="shared" si="10"/>
        <v>-11</v>
      </c>
      <c r="F39" s="6">
        <v>28.6</v>
      </c>
      <c r="G39" s="6">
        <f t="shared" si="11"/>
        <v>-314.60000000000002</v>
      </c>
      <c r="H39" s="7">
        <f t="shared" si="15"/>
        <v>8.3333333333333332E-3</v>
      </c>
      <c r="I39" s="8">
        <f t="shared" si="12"/>
        <v>-9.166666666666666E-2</v>
      </c>
      <c r="J39" s="8">
        <f t="shared" si="16"/>
        <v>-0.41666666666666669</v>
      </c>
      <c r="K39" s="8">
        <f t="shared" si="13"/>
        <v>-2.621666666666667</v>
      </c>
      <c r="L39" s="8">
        <f t="shared" si="17"/>
        <v>-11.916666666666668</v>
      </c>
      <c r="M39" s="4" t="str">
        <f t="shared" si="14"/>
        <v>Sí</v>
      </c>
      <c r="N39" s="9" t="s">
        <v>18</v>
      </c>
    </row>
    <row r="40" spans="1:14">
      <c r="A40" s="4" t="s">
        <v>19</v>
      </c>
      <c r="B40" s="5">
        <v>150</v>
      </c>
      <c r="C40" s="6">
        <f t="shared" si="9"/>
        <v>2.5</v>
      </c>
      <c r="D40" s="6">
        <v>12</v>
      </c>
      <c r="E40" s="6">
        <f t="shared" si="10"/>
        <v>-12</v>
      </c>
      <c r="F40" s="6">
        <v>28.5</v>
      </c>
      <c r="G40" s="6">
        <f t="shared" si="11"/>
        <v>-342</v>
      </c>
      <c r="H40" s="7">
        <f t="shared" si="15"/>
        <v>8.3333333333333332E-3</v>
      </c>
      <c r="I40" s="8">
        <f t="shared" si="12"/>
        <v>-0.1</v>
      </c>
      <c r="J40" s="8">
        <f t="shared" si="16"/>
        <v>-0.51666666666666672</v>
      </c>
      <c r="K40" s="8">
        <f t="shared" si="13"/>
        <v>-2.85</v>
      </c>
      <c r="L40" s="8">
        <f t="shared" si="17"/>
        <v>-14.766666666666667</v>
      </c>
      <c r="M40" s="4" t="str">
        <f t="shared" si="14"/>
        <v>Sí</v>
      </c>
      <c r="N40" s="9" t="s">
        <v>18</v>
      </c>
    </row>
    <row r="41" spans="1:14">
      <c r="A41" s="4" t="s">
        <v>19</v>
      </c>
      <c r="B41" s="5">
        <v>180</v>
      </c>
      <c r="C41" s="6">
        <f t="shared" si="9"/>
        <v>3</v>
      </c>
      <c r="D41" s="6">
        <v>9</v>
      </c>
      <c r="E41" s="6">
        <f t="shared" si="10"/>
        <v>-9</v>
      </c>
      <c r="F41" s="6">
        <v>28.5</v>
      </c>
      <c r="G41" s="6">
        <f t="shared" si="11"/>
        <v>-256.5</v>
      </c>
      <c r="H41" s="7">
        <f t="shared" si="15"/>
        <v>8.3333333333333332E-3</v>
      </c>
      <c r="I41" s="8">
        <f t="shared" si="12"/>
        <v>-7.4999999999999997E-2</v>
      </c>
      <c r="J41" s="8">
        <f t="shared" si="16"/>
        <v>-0.59166666666666667</v>
      </c>
      <c r="K41" s="8">
        <f t="shared" si="13"/>
        <v>-2.1375000000000002</v>
      </c>
      <c r="L41" s="8">
        <f t="shared" si="17"/>
        <v>-16.904166666666669</v>
      </c>
      <c r="M41" s="4" t="str">
        <f t="shared" si="14"/>
        <v>Sí</v>
      </c>
      <c r="N41" s="9" t="s">
        <v>18</v>
      </c>
    </row>
    <row r="42" spans="1:14">
      <c r="A42" s="4" t="s">
        <v>19</v>
      </c>
      <c r="B42" s="5">
        <v>210</v>
      </c>
      <c r="C42" s="6">
        <f t="shared" si="9"/>
        <v>3.5</v>
      </c>
      <c r="D42" s="6">
        <v>13</v>
      </c>
      <c r="E42" s="6">
        <f t="shared" si="10"/>
        <v>-13</v>
      </c>
      <c r="F42" s="6">
        <v>28.4</v>
      </c>
      <c r="G42" s="6">
        <f t="shared" si="11"/>
        <v>-369.2</v>
      </c>
      <c r="H42" s="7">
        <f t="shared" si="15"/>
        <v>8.3333333333333332E-3</v>
      </c>
      <c r="I42" s="8">
        <f t="shared" si="12"/>
        <v>-0.10833333333333334</v>
      </c>
      <c r="J42" s="8">
        <f t="shared" si="16"/>
        <v>-0.7</v>
      </c>
      <c r="K42" s="8">
        <f t="shared" si="13"/>
        <v>-3.0766666666666667</v>
      </c>
      <c r="L42" s="8">
        <f t="shared" si="17"/>
        <v>-19.980833333333337</v>
      </c>
      <c r="M42" s="4" t="str">
        <f t="shared" si="14"/>
        <v>Sí</v>
      </c>
      <c r="N42" s="9" t="s">
        <v>18</v>
      </c>
    </row>
    <row r="43" spans="1:14">
      <c r="A43" s="4" t="s">
        <v>19</v>
      </c>
      <c r="B43" s="5">
        <v>240</v>
      </c>
      <c r="C43" s="6">
        <f t="shared" si="9"/>
        <v>4</v>
      </c>
      <c r="D43" s="6">
        <v>9</v>
      </c>
      <c r="E43" s="6">
        <f t="shared" si="10"/>
        <v>-9</v>
      </c>
      <c r="F43" s="6">
        <v>28.5</v>
      </c>
      <c r="G43" s="6">
        <f t="shared" si="11"/>
        <v>-256.5</v>
      </c>
      <c r="H43" s="7">
        <f t="shared" si="15"/>
        <v>8.3333333333333332E-3</v>
      </c>
      <c r="I43" s="8">
        <f t="shared" si="12"/>
        <v>-7.4999999999999997E-2</v>
      </c>
      <c r="J43" s="8">
        <f t="shared" si="16"/>
        <v>-0.77499999999999991</v>
      </c>
      <c r="K43" s="8">
        <f t="shared" si="13"/>
        <v>-2.1375000000000002</v>
      </c>
      <c r="L43" s="8">
        <f t="shared" si="17"/>
        <v>-22.118333333333336</v>
      </c>
      <c r="M43" s="4" t="str">
        <f t="shared" si="14"/>
        <v>Sí</v>
      </c>
      <c r="N43" s="9" t="s">
        <v>18</v>
      </c>
    </row>
    <row r="44" spans="1:14">
      <c r="A44" s="4" t="s">
        <v>19</v>
      </c>
      <c r="B44" s="5">
        <v>270</v>
      </c>
      <c r="C44" s="6">
        <f t="shared" si="9"/>
        <v>4.5</v>
      </c>
      <c r="D44" s="6">
        <v>7</v>
      </c>
      <c r="E44" s="6">
        <f t="shared" si="10"/>
        <v>-7</v>
      </c>
      <c r="F44" s="6">
        <v>28.4</v>
      </c>
      <c r="G44" s="6">
        <f t="shared" si="11"/>
        <v>-198.79999999999998</v>
      </c>
      <c r="H44" s="7">
        <f t="shared" si="15"/>
        <v>8.3333333333333332E-3</v>
      </c>
      <c r="I44" s="8">
        <f t="shared" si="12"/>
        <v>-5.8333333333333334E-2</v>
      </c>
      <c r="J44" s="8">
        <f t="shared" si="16"/>
        <v>-0.83333333333333326</v>
      </c>
      <c r="K44" s="8">
        <f t="shared" si="13"/>
        <v>-1.6566666666666665</v>
      </c>
      <c r="L44" s="8">
        <f t="shared" si="17"/>
        <v>-23.775000000000002</v>
      </c>
      <c r="M44" s="4" t="str">
        <f t="shared" si="14"/>
        <v>Sí</v>
      </c>
      <c r="N44" s="9" t="s">
        <v>18</v>
      </c>
    </row>
    <row r="45" spans="1:14">
      <c r="A45" s="4" t="s">
        <v>19</v>
      </c>
      <c r="B45" s="5">
        <v>300</v>
      </c>
      <c r="C45" s="6">
        <f t="shared" si="9"/>
        <v>5</v>
      </c>
      <c r="D45" s="6">
        <v>8</v>
      </c>
      <c r="E45" s="6">
        <f t="shared" si="10"/>
        <v>-8</v>
      </c>
      <c r="F45" s="6">
        <v>28.5</v>
      </c>
      <c r="G45" s="6">
        <f t="shared" si="11"/>
        <v>-228</v>
      </c>
      <c r="H45" s="7">
        <f t="shared" si="15"/>
        <v>8.3333333333333332E-3</v>
      </c>
      <c r="I45" s="8">
        <f t="shared" si="12"/>
        <v>-6.6666666666666666E-2</v>
      </c>
      <c r="J45" s="8">
        <f t="shared" si="16"/>
        <v>-0.89999999999999991</v>
      </c>
      <c r="K45" s="8">
        <f t="shared" si="13"/>
        <v>-1.9</v>
      </c>
      <c r="L45" s="8">
        <f t="shared" si="17"/>
        <v>-25.675000000000001</v>
      </c>
      <c r="M45" s="4" t="str">
        <f t="shared" si="14"/>
        <v>Sí</v>
      </c>
      <c r="N45" s="9" t="s">
        <v>18</v>
      </c>
    </row>
    <row r="46" spans="1:14">
      <c r="A46" s="4" t="s">
        <v>19</v>
      </c>
      <c r="B46" s="5">
        <v>330</v>
      </c>
      <c r="C46" s="6">
        <f t="shared" si="9"/>
        <v>5.5</v>
      </c>
      <c r="D46" s="6">
        <v>8</v>
      </c>
      <c r="E46" s="6">
        <f t="shared" si="10"/>
        <v>-8</v>
      </c>
      <c r="F46" s="6">
        <v>28.5</v>
      </c>
      <c r="G46" s="6">
        <f t="shared" si="11"/>
        <v>-228</v>
      </c>
      <c r="H46" s="7">
        <f t="shared" si="15"/>
        <v>8.3333333333333332E-3</v>
      </c>
      <c r="I46" s="8">
        <f t="shared" si="12"/>
        <v>-6.6666666666666666E-2</v>
      </c>
      <c r="J46" s="8">
        <f t="shared" si="16"/>
        <v>-0.96666666666666656</v>
      </c>
      <c r="K46" s="8">
        <f t="shared" si="13"/>
        <v>-1.9</v>
      </c>
      <c r="L46" s="8">
        <f t="shared" si="17"/>
        <v>-27.574999999999999</v>
      </c>
      <c r="M46" s="4" t="str">
        <f t="shared" si="14"/>
        <v>Sí</v>
      </c>
      <c r="N46" s="9" t="s">
        <v>18</v>
      </c>
    </row>
    <row r="47" spans="1:14">
      <c r="A47" s="4" t="s">
        <v>19</v>
      </c>
      <c r="B47" s="5">
        <v>360</v>
      </c>
      <c r="C47" s="6">
        <f t="shared" si="9"/>
        <v>6</v>
      </c>
      <c r="D47" s="6">
        <v>5.22</v>
      </c>
      <c r="E47" s="6">
        <f t="shared" si="10"/>
        <v>-5.22</v>
      </c>
      <c r="F47" s="6">
        <v>28.4</v>
      </c>
      <c r="G47" s="6">
        <f t="shared" si="11"/>
        <v>-148.24799999999999</v>
      </c>
      <c r="H47" s="7">
        <f t="shared" si="15"/>
        <v>8.3333333333333332E-3</v>
      </c>
      <c r="I47" s="8">
        <f t="shared" si="12"/>
        <v>-4.3499999999999997E-2</v>
      </c>
      <c r="J47" s="8">
        <f t="shared" si="16"/>
        <v>-1.0101666666666667</v>
      </c>
      <c r="K47" s="8">
        <f t="shared" si="13"/>
        <v>-1.2353999999999998</v>
      </c>
      <c r="L47" s="8">
        <f t="shared" si="17"/>
        <v>-28.810399999999998</v>
      </c>
      <c r="M47" s="4" t="str">
        <f t="shared" si="14"/>
        <v>Sí</v>
      </c>
      <c r="N47" s="9" t="s">
        <v>18</v>
      </c>
    </row>
    <row r="48" spans="1:14">
      <c r="A48" s="4" t="s">
        <v>19</v>
      </c>
      <c r="B48" s="5">
        <v>390</v>
      </c>
      <c r="C48" s="6">
        <f t="shared" si="9"/>
        <v>6.5</v>
      </c>
      <c r="D48" s="6">
        <v>4.0999999999999996</v>
      </c>
      <c r="E48" s="6">
        <f t="shared" si="10"/>
        <v>-4.0999999999999996</v>
      </c>
      <c r="F48" s="6">
        <v>28.4</v>
      </c>
      <c r="G48" s="6">
        <f t="shared" si="11"/>
        <v>-116.43999999999998</v>
      </c>
      <c r="H48" s="7">
        <f t="shared" si="15"/>
        <v>8.3333333333333332E-3</v>
      </c>
      <c r="I48" s="8">
        <f t="shared" si="12"/>
        <v>-3.4166666666666665E-2</v>
      </c>
      <c r="J48" s="8">
        <f t="shared" si="16"/>
        <v>-1.0443333333333333</v>
      </c>
      <c r="K48" s="8">
        <f t="shared" si="13"/>
        <v>-0.97033333333333316</v>
      </c>
      <c r="L48" s="8">
        <f t="shared" si="17"/>
        <v>-29.78073333333333</v>
      </c>
      <c r="M48" s="4" t="str">
        <f t="shared" si="14"/>
        <v>Sí</v>
      </c>
      <c r="N48" s="9" t="s">
        <v>18</v>
      </c>
    </row>
    <row r="49" spans="1:14">
      <c r="A49" s="4" t="s">
        <v>19</v>
      </c>
      <c r="B49" s="5">
        <v>420</v>
      </c>
      <c r="C49" s="6">
        <f t="shared" si="9"/>
        <v>7</v>
      </c>
      <c r="D49" s="6">
        <v>2.7</v>
      </c>
      <c r="E49" s="6">
        <f t="shared" si="10"/>
        <v>-2.7</v>
      </c>
      <c r="F49" s="6">
        <v>28.4</v>
      </c>
      <c r="G49" s="6">
        <f t="shared" si="11"/>
        <v>-76.680000000000007</v>
      </c>
      <c r="H49" s="7">
        <f t="shared" si="15"/>
        <v>8.3333333333333332E-3</v>
      </c>
      <c r="I49" s="8">
        <f t="shared" si="12"/>
        <v>-2.2500000000000003E-2</v>
      </c>
      <c r="J49" s="8">
        <f t="shared" si="16"/>
        <v>-1.0668333333333333</v>
      </c>
      <c r="K49" s="8">
        <f t="shared" si="13"/>
        <v>-0.63900000000000001</v>
      </c>
      <c r="L49" s="8">
        <f t="shared" si="17"/>
        <v>-30.41973333333333</v>
      </c>
      <c r="M49" s="4" t="str">
        <f t="shared" si="14"/>
        <v>Sí</v>
      </c>
      <c r="N49" s="9" t="s">
        <v>18</v>
      </c>
    </row>
    <row r="50" spans="1:14">
      <c r="A50" s="4" t="s">
        <v>19</v>
      </c>
      <c r="B50" s="5">
        <v>450</v>
      </c>
      <c r="C50" s="6">
        <f t="shared" si="9"/>
        <v>7.5</v>
      </c>
      <c r="D50" s="6">
        <v>4.45</v>
      </c>
      <c r="E50" s="6">
        <f t="shared" si="10"/>
        <v>-4.45</v>
      </c>
      <c r="F50" s="6">
        <v>28.4</v>
      </c>
      <c r="G50" s="6">
        <f t="shared" si="11"/>
        <v>-126.38</v>
      </c>
      <c r="H50" s="7">
        <f t="shared" si="15"/>
        <v>8.3333333333333332E-3</v>
      </c>
      <c r="I50" s="8">
        <f t="shared" si="12"/>
        <v>-3.7083333333333336E-2</v>
      </c>
      <c r="J50" s="8">
        <f t="shared" si="16"/>
        <v>-1.1039166666666667</v>
      </c>
      <c r="K50" s="8">
        <f t="shared" si="13"/>
        <v>-1.0531666666666666</v>
      </c>
      <c r="L50" s="8">
        <f t="shared" si="17"/>
        <v>-31.472899999999996</v>
      </c>
      <c r="M50" s="4" t="str">
        <f t="shared" si="14"/>
        <v>Sí</v>
      </c>
      <c r="N50" s="9" t="s">
        <v>18</v>
      </c>
    </row>
    <row r="51" spans="1:14">
      <c r="A51" s="4" t="s">
        <v>19</v>
      </c>
      <c r="B51" s="5">
        <v>480</v>
      </c>
      <c r="C51" s="6">
        <f t="shared" si="9"/>
        <v>8</v>
      </c>
      <c r="D51" s="6">
        <v>3.22</v>
      </c>
      <c r="E51" s="6">
        <f t="shared" si="10"/>
        <v>-3.22</v>
      </c>
      <c r="F51" s="6">
        <v>27.9</v>
      </c>
      <c r="G51" s="6">
        <f t="shared" si="11"/>
        <v>-89.837999999999994</v>
      </c>
      <c r="H51" s="7">
        <f t="shared" si="15"/>
        <v>8.3333333333333332E-3</v>
      </c>
      <c r="I51" s="8">
        <f t="shared" si="12"/>
        <v>-2.6833333333333334E-2</v>
      </c>
      <c r="J51" s="8">
        <f t="shared" si="16"/>
        <v>-1.1307499999999999</v>
      </c>
      <c r="K51" s="8">
        <f t="shared" si="13"/>
        <v>-0.74864999999999993</v>
      </c>
      <c r="L51" s="8">
        <f t="shared" si="17"/>
        <v>-32.221549999999993</v>
      </c>
      <c r="M51" s="4" t="str">
        <f t="shared" si="14"/>
        <v>Sí</v>
      </c>
      <c r="N51" s="9" t="s">
        <v>18</v>
      </c>
    </row>
    <row r="52" spans="1:14">
      <c r="A52" s="4" t="s">
        <v>19</v>
      </c>
      <c r="B52" s="5">
        <v>510</v>
      </c>
      <c r="C52" s="6">
        <f t="shared" si="9"/>
        <v>8.5</v>
      </c>
      <c r="D52" s="6">
        <v>2.2200000000000002</v>
      </c>
      <c r="E52" s="6">
        <f t="shared" si="10"/>
        <v>-2.2200000000000002</v>
      </c>
      <c r="F52" s="6">
        <v>28.2</v>
      </c>
      <c r="G52" s="6">
        <f t="shared" si="11"/>
        <v>-62.604000000000006</v>
      </c>
      <c r="H52" s="7">
        <f t="shared" si="15"/>
        <v>8.3333333333333332E-3</v>
      </c>
      <c r="I52" s="8">
        <f t="shared" si="12"/>
        <v>-1.8500000000000003E-2</v>
      </c>
      <c r="J52" s="8">
        <f t="shared" si="16"/>
        <v>-1.1492499999999999</v>
      </c>
      <c r="K52" s="8">
        <f t="shared" si="13"/>
        <v>-0.52170000000000005</v>
      </c>
      <c r="L52" s="8">
        <f t="shared" si="17"/>
        <v>-32.743249999999996</v>
      </c>
      <c r="M52" s="4" t="str">
        <f t="shared" si="14"/>
        <v>Sí</v>
      </c>
      <c r="N52" s="9" t="s">
        <v>18</v>
      </c>
    </row>
    <row r="53" spans="1:14">
      <c r="A53" s="4" t="s">
        <v>19</v>
      </c>
      <c r="B53" s="5">
        <v>540</v>
      </c>
      <c r="C53" s="6">
        <f t="shared" si="9"/>
        <v>9</v>
      </c>
      <c r="D53" s="6">
        <v>2.29</v>
      </c>
      <c r="E53" s="6">
        <f t="shared" si="10"/>
        <v>-2.29</v>
      </c>
      <c r="F53" s="6">
        <v>28.4</v>
      </c>
      <c r="G53" s="6">
        <f t="shared" si="11"/>
        <v>-65.036000000000001</v>
      </c>
      <c r="H53" s="7">
        <f t="shared" si="15"/>
        <v>8.3333333333333332E-3</v>
      </c>
      <c r="I53" s="8">
        <f t="shared" si="12"/>
        <v>-1.9083333333333334E-2</v>
      </c>
      <c r="J53" s="8">
        <f t="shared" si="16"/>
        <v>-1.1683333333333332</v>
      </c>
      <c r="K53" s="8">
        <f t="shared" si="13"/>
        <v>-0.54196666666666671</v>
      </c>
      <c r="L53" s="8">
        <f t="shared" si="17"/>
        <v>-33.285216666666663</v>
      </c>
      <c r="M53" s="4" t="str">
        <f t="shared" si="14"/>
        <v>Sí</v>
      </c>
      <c r="N53" s="9" t="s">
        <v>18</v>
      </c>
    </row>
    <row r="54" spans="1:14">
      <c r="A54" s="4" t="s">
        <v>19</v>
      </c>
      <c r="B54" s="5">
        <v>570</v>
      </c>
      <c r="C54" s="6">
        <f t="shared" si="9"/>
        <v>9.5</v>
      </c>
      <c r="D54" s="6">
        <v>2.15</v>
      </c>
      <c r="E54" s="6">
        <f t="shared" si="10"/>
        <v>-2.15</v>
      </c>
      <c r="F54" s="6">
        <v>28.4</v>
      </c>
      <c r="G54" s="6">
        <f t="shared" si="11"/>
        <v>-61.059999999999995</v>
      </c>
      <c r="H54" s="7">
        <f t="shared" si="15"/>
        <v>8.3333333333333332E-3</v>
      </c>
      <c r="I54" s="8">
        <f t="shared" si="12"/>
        <v>-1.7916666666666664E-2</v>
      </c>
      <c r="J54" s="8">
        <f t="shared" si="16"/>
        <v>-1.1862499999999998</v>
      </c>
      <c r="K54" s="8">
        <f t="shared" si="13"/>
        <v>-0.50883333333333325</v>
      </c>
      <c r="L54" s="8">
        <f t="shared" si="17"/>
        <v>-33.794049999999999</v>
      </c>
      <c r="M54" s="4" t="str">
        <f t="shared" si="14"/>
        <v>Sí</v>
      </c>
      <c r="N54" s="9" t="s">
        <v>18</v>
      </c>
    </row>
    <row r="55" spans="1:14">
      <c r="A55" s="4" t="s">
        <v>19</v>
      </c>
      <c r="B55" s="5">
        <v>600</v>
      </c>
      <c r="C55" s="6">
        <f t="shared" si="9"/>
        <v>10</v>
      </c>
      <c r="D55" s="6">
        <v>2.21</v>
      </c>
      <c r="E55" s="6">
        <f t="shared" si="10"/>
        <v>-2.21</v>
      </c>
      <c r="F55" s="6">
        <v>28.4</v>
      </c>
      <c r="G55" s="6">
        <f t="shared" si="11"/>
        <v>-62.763999999999996</v>
      </c>
      <c r="H55" s="7">
        <f t="shared" si="15"/>
        <v>8.3333333333333332E-3</v>
      </c>
      <c r="I55" s="8">
        <f t="shared" si="12"/>
        <v>-1.8416666666666665E-2</v>
      </c>
      <c r="J55" s="8">
        <f t="shared" si="16"/>
        <v>-1.2046666666666666</v>
      </c>
      <c r="K55" s="8">
        <f t="shared" si="13"/>
        <v>-0.52303333333333324</v>
      </c>
      <c r="L55" s="8">
        <f t="shared" si="17"/>
        <v>-34.317083333333329</v>
      </c>
      <c r="M55" s="4" t="str">
        <f t="shared" si="14"/>
        <v>Sí</v>
      </c>
      <c r="N55" s="9" t="s">
        <v>18</v>
      </c>
    </row>
    <row r="56" spans="1:14">
      <c r="A56" s="4"/>
      <c r="B56" s="5"/>
      <c r="C56" s="6"/>
      <c r="D56" s="6"/>
      <c r="E56" s="6"/>
      <c r="F56" s="6"/>
      <c r="G56" s="6"/>
      <c r="H56" s="7"/>
      <c r="I56" s="8"/>
      <c r="J56" s="8"/>
      <c r="K56" s="8"/>
      <c r="L56" s="8"/>
      <c r="M56" s="4"/>
      <c r="N56" s="9"/>
    </row>
  </sheetData>
  <mergeCells count="2">
    <mergeCell ref="A1:N1"/>
    <mergeCell ref="A2:N2"/>
  </mergeCells>
  <conditionalFormatting sqref="E5:E56">
    <cfRule type="cellIs" dxfId="1" priority="1" operator="lessThan">
      <formula>0</formula>
    </cfRule>
  </conditionalFormatting>
  <conditionalFormatting sqref="M5:M56">
    <cfRule type="expression" dxfId="0" priority="2">
      <formula>M5="No"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/>
  </sheetViews>
  <sheetFormatPr baseColWidth="10" defaultColWidth="9" defaultRowHeight="14.25"/>
  <cols>
    <col min="1" max="1" width="28" customWidth="1"/>
    <col min="2" max="3" width="16" customWidth="1"/>
    <col min="4" max="4" width="52" customWidth="1"/>
    <col min="5" max="6" width="2" customWidth="1"/>
  </cols>
  <sheetData>
    <row r="1" spans="1:6" ht="24" customHeight="1">
      <c r="A1" s="13" t="s">
        <v>20</v>
      </c>
      <c r="B1" s="13"/>
      <c r="C1" s="13"/>
      <c r="D1" s="13"/>
      <c r="E1" s="13"/>
      <c r="F1" s="13"/>
    </row>
    <row r="3" spans="1:6" ht="42.75">
      <c r="A3" s="11" t="s">
        <v>21</v>
      </c>
      <c r="B3" s="9" t="s">
        <v>22</v>
      </c>
      <c r="C3" s="9"/>
      <c r="D3" s="9"/>
      <c r="E3" s="9"/>
      <c r="F3" s="9"/>
    </row>
    <row r="4" spans="1:6" ht="28.5">
      <c r="A4" s="11" t="s">
        <v>23</v>
      </c>
      <c r="B4" s="9" t="s">
        <v>24</v>
      </c>
      <c r="C4" s="9"/>
      <c r="D4" s="9"/>
      <c r="E4" s="9"/>
      <c r="F4" s="9"/>
    </row>
    <row r="5" spans="1:6" ht="28.5">
      <c r="A5" s="11" t="s">
        <v>25</v>
      </c>
      <c r="B5" s="9" t="s">
        <v>26</v>
      </c>
      <c r="C5" s="9"/>
      <c r="D5" s="9"/>
      <c r="E5" s="9"/>
      <c r="F5" s="9"/>
    </row>
    <row r="6" spans="1:6" ht="28.5">
      <c r="A6" s="11" t="s">
        <v>27</v>
      </c>
      <c r="B6" s="9" t="s">
        <v>28</v>
      </c>
      <c r="C6" s="9"/>
      <c r="D6" s="9"/>
      <c r="E6" s="9"/>
      <c r="F6" s="9"/>
    </row>
    <row r="7" spans="1:6" ht="42.75">
      <c r="A7" s="11" t="s">
        <v>29</v>
      </c>
      <c r="B7" s="9" t="s">
        <v>30</v>
      </c>
      <c r="C7" s="9"/>
      <c r="D7" s="9"/>
      <c r="E7" s="9"/>
      <c r="F7" s="9"/>
    </row>
    <row r="10" spans="1:6" ht="15">
      <c r="A10" s="10" t="s">
        <v>31</v>
      </c>
      <c r="B10" s="10" t="s">
        <v>16</v>
      </c>
      <c r="C10" s="10" t="s">
        <v>19</v>
      </c>
      <c r="D10" s="10" t="s">
        <v>32</v>
      </c>
    </row>
    <row r="11" spans="1:6" ht="15">
      <c r="A11" s="12" t="s">
        <v>33</v>
      </c>
      <c r="B11" s="8">
        <v>30</v>
      </c>
      <c r="C11" s="8">
        <v>22</v>
      </c>
      <c r="D11" s="9" t="s">
        <v>34</v>
      </c>
    </row>
    <row r="12" spans="1:6" ht="15">
      <c r="A12" s="12" t="s">
        <v>35</v>
      </c>
      <c r="B12" s="8">
        <v>28</v>
      </c>
      <c r="C12" s="8">
        <v>21</v>
      </c>
      <c r="D12" s="9" t="s">
        <v>36</v>
      </c>
    </row>
    <row r="13" spans="1:6" ht="15">
      <c r="A13" s="12" t="s">
        <v>37</v>
      </c>
      <c r="B13" s="8">
        <v>14.5</v>
      </c>
      <c r="C13" s="8">
        <v>10.5</v>
      </c>
      <c r="D13" s="9" t="s">
        <v>38</v>
      </c>
    </row>
    <row r="14" spans="1:6" ht="15">
      <c r="A14" s="12" t="s">
        <v>39</v>
      </c>
      <c r="B14" s="8">
        <v>5.5360714285714288</v>
      </c>
      <c r="C14" s="8">
        <v>7.7885714285714283</v>
      </c>
      <c r="D14" s="9" t="s">
        <v>40</v>
      </c>
    </row>
    <row r="15" spans="1:6" ht="15">
      <c r="A15" s="12" t="s">
        <v>41</v>
      </c>
      <c r="B15" s="8">
        <v>5.49</v>
      </c>
      <c r="C15" s="8">
        <v>2.15</v>
      </c>
      <c r="D15" s="9"/>
    </row>
    <row r="16" spans="1:6" ht="15">
      <c r="A16" s="12" t="s">
        <v>42</v>
      </c>
      <c r="B16" s="8">
        <v>5.76</v>
      </c>
      <c r="C16" s="8">
        <v>19</v>
      </c>
      <c r="D16" s="9"/>
    </row>
    <row r="17" spans="1:8" ht="15">
      <c r="A17" s="12" t="s">
        <v>43</v>
      </c>
      <c r="B17" s="8">
        <v>26.1</v>
      </c>
      <c r="C17" s="8">
        <v>25.5</v>
      </c>
      <c r="D17" s="9" t="s">
        <v>44</v>
      </c>
    </row>
    <row r="18" spans="1:8" ht="15">
      <c r="A18" s="12" t="s">
        <v>45</v>
      </c>
      <c r="B18" s="8">
        <v>24.8</v>
      </c>
      <c r="C18" s="8">
        <v>28.4</v>
      </c>
      <c r="D18" s="9" t="s">
        <v>46</v>
      </c>
    </row>
    <row r="19" spans="1:8" ht="15">
      <c r="A19" s="12" t="s">
        <v>47</v>
      </c>
      <c r="B19" s="8">
        <v>25.08</v>
      </c>
      <c r="C19" s="8">
        <v>28.295454545454547</v>
      </c>
      <c r="D19" s="9"/>
    </row>
    <row r="20" spans="1:8" ht="15">
      <c r="A20" s="12" t="s">
        <v>48</v>
      </c>
      <c r="B20" s="8">
        <v>138.70171428571427</v>
      </c>
      <c r="C20" s="8">
        <v>-219.16904761904763</v>
      </c>
      <c r="D20" s="9" t="s">
        <v>49</v>
      </c>
    </row>
    <row r="21" spans="1:8" ht="15">
      <c r="A21" s="12" t="s">
        <v>50</v>
      </c>
      <c r="B21" s="8">
        <v>1.2917499999999995</v>
      </c>
      <c r="C21" s="8">
        <v>-1.2046666666666666</v>
      </c>
      <c r="D21" s="9" t="s">
        <v>51</v>
      </c>
    </row>
    <row r="22" spans="1:8" ht="15">
      <c r="A22" s="12" t="s">
        <v>52</v>
      </c>
      <c r="B22" s="8">
        <v>32.363733333333343</v>
      </c>
      <c r="C22" s="8">
        <v>-34.317083333333329</v>
      </c>
      <c r="D22" s="9" t="s">
        <v>53</v>
      </c>
    </row>
    <row r="26" spans="1:8" ht="240">
      <c r="A26" s="1" t="s">
        <v>4</v>
      </c>
      <c r="B26" s="1" t="s">
        <v>54</v>
      </c>
      <c r="C26" s="1" t="s">
        <v>55</v>
      </c>
      <c r="D26" s="1" t="s">
        <v>56</v>
      </c>
      <c r="E26" s="1" t="s">
        <v>57</v>
      </c>
      <c r="F26" s="1" t="s">
        <v>58</v>
      </c>
      <c r="G26" s="1" t="s">
        <v>59</v>
      </c>
      <c r="H26" s="1" t="s">
        <v>60</v>
      </c>
    </row>
    <row r="27" spans="1:8">
      <c r="A27" s="3">
        <v>0.5</v>
      </c>
      <c r="B27" s="3">
        <v>25.3</v>
      </c>
      <c r="C27" s="3">
        <v>5.64</v>
      </c>
      <c r="D27" s="3">
        <v>142.69200000000001</v>
      </c>
      <c r="E27" s="3">
        <v>0</v>
      </c>
      <c r="F27" s="3">
        <v>25.5</v>
      </c>
      <c r="G27" s="3">
        <v>-19</v>
      </c>
      <c r="H27" s="3">
        <v>-484.5</v>
      </c>
    </row>
    <row r="28" spans="1:8">
      <c r="A28" s="3">
        <v>1</v>
      </c>
      <c r="B28" s="3">
        <v>25.3</v>
      </c>
      <c r="C28" s="3">
        <v>5.76</v>
      </c>
      <c r="D28" s="3">
        <v>145.72800000000001</v>
      </c>
      <c r="E28" s="3">
        <v>0.5</v>
      </c>
      <c r="F28" s="3">
        <v>28.6</v>
      </c>
      <c r="G28" s="3">
        <v>-16</v>
      </c>
      <c r="H28" s="3">
        <v>-457.6</v>
      </c>
    </row>
    <row r="29" spans="1:8">
      <c r="A29" s="3">
        <v>1.5</v>
      </c>
      <c r="B29" s="3">
        <v>25.3</v>
      </c>
      <c r="C29" s="3">
        <v>5.56</v>
      </c>
      <c r="D29" s="3">
        <v>140.66800000000001</v>
      </c>
      <c r="E29" s="3">
        <v>1</v>
      </c>
      <c r="F29" s="3">
        <v>28.6</v>
      </c>
      <c r="G29" s="3">
        <v>-12</v>
      </c>
      <c r="H29" s="3">
        <v>-343.20000000000005</v>
      </c>
    </row>
    <row r="30" spans="1:8">
      <c r="A30" s="3">
        <v>2</v>
      </c>
      <c r="B30" s="3">
        <v>25.2</v>
      </c>
      <c r="C30" s="3">
        <v>5.54</v>
      </c>
      <c r="D30" s="3">
        <v>139.608</v>
      </c>
      <c r="E30" s="3">
        <v>1.5</v>
      </c>
      <c r="F30" s="3">
        <v>28.6</v>
      </c>
      <c r="G30" s="3">
        <v>-11</v>
      </c>
      <c r="H30" s="3">
        <v>-314.60000000000002</v>
      </c>
    </row>
    <row r="31" spans="1:8">
      <c r="A31" s="3">
        <v>2.5</v>
      </c>
      <c r="B31" s="3">
        <v>25.2</v>
      </c>
      <c r="C31" s="3">
        <v>5.54</v>
      </c>
      <c r="D31" s="3">
        <v>139.608</v>
      </c>
      <c r="E31" s="3">
        <v>2</v>
      </c>
      <c r="F31" s="3">
        <v>28.6</v>
      </c>
      <c r="G31" s="3">
        <v>-11</v>
      </c>
      <c r="H31" s="3">
        <v>-314.60000000000002</v>
      </c>
    </row>
    <row r="32" spans="1:8">
      <c r="A32" s="3">
        <v>3</v>
      </c>
      <c r="B32" s="3">
        <v>25.2</v>
      </c>
      <c r="C32" s="3">
        <v>5.53</v>
      </c>
      <c r="D32" s="3">
        <v>139.35599999999999</v>
      </c>
      <c r="E32" s="3">
        <v>2.5</v>
      </c>
      <c r="F32" s="3">
        <v>28.5</v>
      </c>
      <c r="G32" s="3">
        <v>-12</v>
      </c>
      <c r="H32" s="3">
        <v>-342</v>
      </c>
    </row>
    <row r="33" spans="1:8">
      <c r="A33" s="3">
        <v>3.5</v>
      </c>
      <c r="B33" s="3">
        <v>25.2</v>
      </c>
      <c r="C33" s="3">
        <v>5.54</v>
      </c>
      <c r="D33" s="3">
        <v>139.608</v>
      </c>
      <c r="E33" s="3">
        <v>3</v>
      </c>
      <c r="F33" s="3">
        <v>28.5</v>
      </c>
      <c r="G33" s="3">
        <v>-9</v>
      </c>
      <c r="H33" s="3">
        <v>-256.5</v>
      </c>
    </row>
    <row r="34" spans="1:8">
      <c r="A34" s="3">
        <v>4</v>
      </c>
      <c r="B34" s="3">
        <v>25.2</v>
      </c>
      <c r="C34" s="3">
        <v>5.52</v>
      </c>
      <c r="D34" s="3">
        <v>139.10399999999998</v>
      </c>
      <c r="E34" s="3">
        <v>3.5</v>
      </c>
      <c r="F34" s="3">
        <v>28.4</v>
      </c>
      <c r="G34" s="3">
        <v>-13</v>
      </c>
      <c r="H34" s="3">
        <v>-369.2</v>
      </c>
    </row>
    <row r="35" spans="1:8">
      <c r="A35" s="3">
        <v>4.5</v>
      </c>
      <c r="B35" s="3">
        <v>25.1</v>
      </c>
      <c r="C35" s="3">
        <v>5.51</v>
      </c>
      <c r="D35" s="3">
        <v>138.30100000000002</v>
      </c>
      <c r="E35" s="3">
        <v>4</v>
      </c>
      <c r="F35" s="3">
        <v>28.5</v>
      </c>
      <c r="G35" s="3">
        <v>-9</v>
      </c>
      <c r="H35" s="3">
        <v>-256.5</v>
      </c>
    </row>
    <row r="36" spans="1:8">
      <c r="A36" s="3">
        <v>5</v>
      </c>
      <c r="B36" s="3">
        <v>25.1</v>
      </c>
      <c r="C36" s="3">
        <v>5.5</v>
      </c>
      <c r="D36" s="3">
        <v>138.05000000000001</v>
      </c>
      <c r="E36" s="3">
        <v>4.5</v>
      </c>
      <c r="F36" s="3">
        <v>28.4</v>
      </c>
      <c r="G36" s="3">
        <v>-7</v>
      </c>
      <c r="H36" s="3">
        <v>-198.79999999999998</v>
      </c>
    </row>
    <row r="37" spans="1:8">
      <c r="A37" s="3">
        <v>5.5</v>
      </c>
      <c r="B37" s="3">
        <v>25.1</v>
      </c>
      <c r="C37" s="3">
        <v>5.51</v>
      </c>
      <c r="D37" s="3">
        <v>138.30100000000002</v>
      </c>
      <c r="E37" s="3">
        <v>5</v>
      </c>
      <c r="F37" s="3">
        <v>28.5</v>
      </c>
      <c r="G37" s="3">
        <v>-8</v>
      </c>
      <c r="H37" s="3">
        <v>-228</v>
      </c>
    </row>
    <row r="38" spans="1:8">
      <c r="A38" s="3">
        <v>6</v>
      </c>
      <c r="B38" s="3">
        <v>25.1</v>
      </c>
      <c r="C38" s="3">
        <v>5.51</v>
      </c>
      <c r="D38" s="3">
        <v>138.30100000000002</v>
      </c>
      <c r="E38" s="3">
        <v>5.5</v>
      </c>
      <c r="F38" s="3">
        <v>28.5</v>
      </c>
      <c r="G38" s="3">
        <v>-8</v>
      </c>
      <c r="H38" s="3">
        <v>-228</v>
      </c>
    </row>
    <row r="39" spans="1:8">
      <c r="A39" s="3">
        <v>6.5</v>
      </c>
      <c r="B39" s="3">
        <v>25.1</v>
      </c>
      <c r="C39" s="3">
        <v>5.51</v>
      </c>
      <c r="D39" s="3">
        <v>138.30100000000002</v>
      </c>
      <c r="E39" s="3">
        <v>6</v>
      </c>
      <c r="F39" s="3">
        <v>28.4</v>
      </c>
      <c r="G39" s="3">
        <v>-5.22</v>
      </c>
      <c r="H39" s="3">
        <v>-148.24799999999999</v>
      </c>
    </row>
    <row r="40" spans="1:8">
      <c r="A40" s="3">
        <v>7</v>
      </c>
      <c r="B40" s="3">
        <v>25.1</v>
      </c>
      <c r="C40" s="3">
        <v>5.53</v>
      </c>
      <c r="D40" s="3">
        <v>138.80300000000003</v>
      </c>
      <c r="E40" s="3">
        <v>6.5</v>
      </c>
      <c r="F40" s="3">
        <v>28.4</v>
      </c>
      <c r="G40" s="3">
        <v>-4.0999999999999996</v>
      </c>
      <c r="H40" s="3">
        <v>-116.43999999999998</v>
      </c>
    </row>
    <row r="41" spans="1:8">
      <c r="A41" s="3">
        <v>7.5</v>
      </c>
      <c r="B41" s="3">
        <v>25</v>
      </c>
      <c r="C41" s="3">
        <v>5.5</v>
      </c>
      <c r="D41" s="3">
        <v>137.5</v>
      </c>
      <c r="E41" s="3">
        <v>7</v>
      </c>
      <c r="F41" s="3">
        <v>28.4</v>
      </c>
      <c r="G41" s="3">
        <v>-2.7</v>
      </c>
      <c r="H41" s="3">
        <v>-76.680000000000007</v>
      </c>
    </row>
    <row r="42" spans="1:8">
      <c r="A42" s="3">
        <v>8</v>
      </c>
      <c r="B42" s="3">
        <v>25</v>
      </c>
      <c r="C42" s="3">
        <v>5.51</v>
      </c>
      <c r="D42" s="3">
        <v>137.75</v>
      </c>
      <c r="E42" s="3">
        <v>7.5</v>
      </c>
      <c r="F42" s="3">
        <v>28.4</v>
      </c>
      <c r="G42" s="3">
        <v>-4.45</v>
      </c>
      <c r="H42" s="3">
        <v>-126.38</v>
      </c>
    </row>
    <row r="43" spans="1:8">
      <c r="A43" s="3">
        <v>8.5</v>
      </c>
      <c r="B43" s="3">
        <v>25</v>
      </c>
      <c r="C43" s="3">
        <v>5.51</v>
      </c>
      <c r="D43" s="3">
        <v>137.75</v>
      </c>
      <c r="E43" s="3">
        <v>8</v>
      </c>
      <c r="F43" s="3">
        <v>27.9</v>
      </c>
      <c r="G43" s="3">
        <v>-3.22</v>
      </c>
      <c r="H43" s="3">
        <v>-89.837999999999994</v>
      </c>
    </row>
    <row r="44" spans="1:8">
      <c r="A44" s="3">
        <v>9</v>
      </c>
      <c r="B44" s="3">
        <v>25</v>
      </c>
      <c r="C44" s="3">
        <v>5.51</v>
      </c>
      <c r="D44" s="3">
        <v>137.75</v>
      </c>
      <c r="E44" s="3">
        <v>8.5</v>
      </c>
      <c r="F44" s="3">
        <v>28.2</v>
      </c>
      <c r="G44" s="3">
        <v>-2.2200000000000002</v>
      </c>
      <c r="H44" s="3">
        <v>-62.604000000000006</v>
      </c>
    </row>
    <row r="45" spans="1:8">
      <c r="A45" s="3">
        <v>9.5</v>
      </c>
      <c r="B45" s="3">
        <v>25</v>
      </c>
      <c r="C45" s="3">
        <v>5.51</v>
      </c>
      <c r="D45" s="3">
        <v>137.75</v>
      </c>
      <c r="E45" s="3">
        <v>9</v>
      </c>
      <c r="F45" s="3">
        <v>28.4</v>
      </c>
      <c r="G45" s="3">
        <v>-2.29</v>
      </c>
      <c r="H45" s="3">
        <v>-65.036000000000001</v>
      </c>
    </row>
    <row r="46" spans="1:8">
      <c r="A46" s="3">
        <v>10</v>
      </c>
      <c r="B46" s="3">
        <v>24.9</v>
      </c>
      <c r="C46" s="3">
        <v>5.51</v>
      </c>
      <c r="D46" s="3">
        <v>137.19899999999998</v>
      </c>
      <c r="E46" s="3">
        <v>9.5</v>
      </c>
      <c r="F46" s="3">
        <v>28.4</v>
      </c>
      <c r="G46" s="3">
        <v>-2.15</v>
      </c>
      <c r="H46" s="3">
        <v>-61.059999999999995</v>
      </c>
    </row>
    <row r="47" spans="1:8">
      <c r="A47" s="3">
        <v>10.5</v>
      </c>
      <c r="B47" s="3">
        <v>24.9</v>
      </c>
      <c r="C47" s="3">
        <v>5.49</v>
      </c>
      <c r="D47" s="3">
        <v>136.70099999999999</v>
      </c>
      <c r="E47" s="3">
        <v>10</v>
      </c>
      <c r="F47" s="3">
        <v>28.4</v>
      </c>
      <c r="G47" s="3">
        <v>-2.21</v>
      </c>
      <c r="H47" s="3">
        <v>-62.763999999999996</v>
      </c>
    </row>
    <row r="48" spans="1:8">
      <c r="A48" s="3">
        <v>11</v>
      </c>
      <c r="B48" s="3">
        <v>24.9</v>
      </c>
      <c r="C48" s="3">
        <v>5.53</v>
      </c>
      <c r="D48" s="3">
        <v>137.697</v>
      </c>
      <c r="E48" s="3"/>
      <c r="F48" s="3"/>
      <c r="G48" s="3"/>
      <c r="H48" s="3"/>
    </row>
    <row r="49" spans="1:8">
      <c r="A49" s="3">
        <v>11.5</v>
      </c>
      <c r="B49" s="3">
        <v>24.9</v>
      </c>
      <c r="C49" s="3">
        <v>5.54</v>
      </c>
      <c r="D49" s="3">
        <v>137.946</v>
      </c>
      <c r="E49" s="3"/>
      <c r="F49" s="3"/>
      <c r="G49" s="3"/>
      <c r="H49" s="3"/>
    </row>
    <row r="50" spans="1:8">
      <c r="A50" s="3">
        <v>12</v>
      </c>
      <c r="B50" s="3">
        <v>24.9</v>
      </c>
      <c r="C50" s="3">
        <v>5.54</v>
      </c>
      <c r="D50" s="3">
        <v>137.946</v>
      </c>
      <c r="E50" s="3"/>
      <c r="F50" s="3"/>
      <c r="G50" s="3"/>
      <c r="H50" s="3"/>
    </row>
    <row r="51" spans="1:8">
      <c r="A51" s="3">
        <v>12.5</v>
      </c>
      <c r="B51" s="3">
        <v>24.9</v>
      </c>
      <c r="C51" s="3">
        <v>5.54</v>
      </c>
      <c r="D51" s="3">
        <v>137.946</v>
      </c>
      <c r="E51" s="3"/>
      <c r="F51" s="3"/>
      <c r="G51" s="3"/>
      <c r="H51" s="3"/>
    </row>
    <row r="52" spans="1:8">
      <c r="A52" s="3">
        <v>13</v>
      </c>
      <c r="B52" s="3">
        <v>24.9</v>
      </c>
      <c r="C52" s="3">
        <v>5.54</v>
      </c>
      <c r="D52" s="3">
        <v>137.946</v>
      </c>
      <c r="E52" s="3"/>
      <c r="F52" s="3"/>
      <c r="G52" s="3"/>
      <c r="H52" s="3"/>
    </row>
    <row r="53" spans="1:8">
      <c r="A53" s="3">
        <v>13.5</v>
      </c>
      <c r="B53" s="3">
        <v>24.9</v>
      </c>
      <c r="C53" s="3">
        <v>5.54</v>
      </c>
      <c r="D53" s="3">
        <v>137.946</v>
      </c>
      <c r="E53" s="3"/>
      <c r="F53" s="3"/>
      <c r="G53" s="3"/>
      <c r="H53" s="3"/>
    </row>
    <row r="54" spans="1:8">
      <c r="A54" s="3">
        <v>14</v>
      </c>
      <c r="B54" s="3">
        <v>24.8</v>
      </c>
      <c r="C54" s="3">
        <v>5.54</v>
      </c>
      <c r="D54" s="3">
        <v>137.392</v>
      </c>
      <c r="E54" s="3"/>
      <c r="F54" s="3"/>
      <c r="G54" s="3"/>
      <c r="H54" s="3"/>
    </row>
  </sheetData>
  <mergeCells count="1">
    <mergeCell ref="A1:F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Dataset_Combinado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machaconl@hotmail.com</cp:lastModifiedBy>
  <dcterms:modified xsi:type="dcterms:W3CDTF">2026-06-03T23:28:59Z</dcterms:modified>
</cp:coreProperties>
</file>